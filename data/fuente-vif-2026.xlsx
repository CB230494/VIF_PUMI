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01950141\Desktop\"/>
    </mc:Choice>
  </mc:AlternateContent>
  <bookViews>
    <workbookView xWindow="0" yWindow="0" windowWidth="28800" windowHeight="12210"/>
  </bookViews>
  <sheets>
    <sheet name="REGION 1 SAN JOSÉ CENTRAL" sheetId="1" r:id="rId1"/>
    <sheet name="REGIÓN 1 SAN JOSÉ NORTE" sheetId="18" r:id="rId2"/>
    <sheet name="REGIÓN 1 SAN JOSÉ SUR" sheetId="19" r:id="rId3"/>
    <sheet name="REGION 2 ALAJUELA" sheetId="2" r:id="rId4"/>
    <sheet name="REGION 3 CARTAGO" sheetId="3" r:id="rId5"/>
    <sheet name="REGION 4 HEREDIA" sheetId="4" r:id="rId6"/>
    <sheet name="REGION 5 CHOROTEGA" sheetId="5" r:id="rId7"/>
    <sheet name="REGION 6 PAC CENTRAL" sheetId="6" r:id="rId8"/>
    <sheet name="REGION 7 BRUNCA" sheetId="7" r:id="rId9"/>
    <sheet name="REGION 8 HUETAR NORTE" sheetId="8" r:id="rId10"/>
    <sheet name="REGION 9 HUETAR ATLANTICA" sheetId="9" r:id="rId11"/>
    <sheet name="REGIÓN 10 BRUNCA SUR" sheetId="10" r:id="rId12"/>
    <sheet name="REGION 11 CHOROTEGA NORTE" sheetId="11" r:id="rId13"/>
    <sheet name="REGION 12 CARIBE" sheetId="12" r:id="rId14"/>
    <sheet name="TOTAL GENERAL" sheetId="15" r:id="rId15"/>
    <sheet name="TOTAL POR REGIÓN" sheetId="16" r:id="rId16"/>
    <sheet name="TOP 20" sheetId="21" r:id="rId17"/>
    <sheet name="PUNTOS VIOLETAS" sheetId="20" r:id="rId18"/>
    <sheet name="POBLACION MIGRANTE" sheetId="17" r:id="rId1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14" i="5" l="1"/>
  <c r="BE14" i="5"/>
  <c r="BF14" i="5"/>
  <c r="BG14" i="5"/>
  <c r="BI14" i="5"/>
  <c r="BJ14" i="5"/>
  <c r="BO13" i="1"/>
  <c r="P18" i="21" l="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AF9" i="20"/>
  <c r="AE9" i="20"/>
  <c r="AD9" i="20"/>
  <c r="P17" i="21"/>
  <c r="O17" i="21"/>
  <c r="N17" i="21"/>
  <c r="M17" i="21"/>
  <c r="L17" i="21"/>
  <c r="K17" i="21"/>
  <c r="J17" i="21"/>
  <c r="I17" i="21"/>
  <c r="H17" i="21"/>
  <c r="G17" i="21"/>
  <c r="E17" i="21"/>
  <c r="E9" i="21"/>
  <c r="F17" i="21"/>
  <c r="D17" i="21"/>
  <c r="C17" i="21"/>
  <c r="C9" i="21"/>
  <c r="AC9" i="20" l="1"/>
  <c r="AB9" i="20"/>
  <c r="AA9" i="20"/>
  <c r="Z9" i="20"/>
  <c r="Y9" i="20"/>
  <c r="X9" i="20"/>
  <c r="W9" i="20"/>
  <c r="V9" i="20"/>
  <c r="Q19" i="21"/>
  <c r="Q18" i="21"/>
  <c r="Q17" i="21"/>
  <c r="Q16" i="21"/>
  <c r="Q15" i="21"/>
  <c r="Q14" i="21"/>
  <c r="Q13" i="21"/>
  <c r="Q12" i="21"/>
  <c r="Q11" i="21"/>
  <c r="Q10" i="21"/>
  <c r="P9" i="21"/>
  <c r="O9" i="21"/>
  <c r="N9" i="21"/>
  <c r="M9" i="21"/>
  <c r="L9" i="21"/>
  <c r="K9" i="21"/>
  <c r="J9" i="21"/>
  <c r="I9" i="21"/>
  <c r="H9" i="21"/>
  <c r="G9" i="21"/>
  <c r="F9" i="21"/>
  <c r="D9" i="21"/>
  <c r="Q8" i="21"/>
  <c r="Q7" i="21"/>
  <c r="Q6" i="21"/>
  <c r="Q5" i="21"/>
  <c r="Q4" i="21"/>
  <c r="Q3" i="21"/>
  <c r="Q2" i="21"/>
  <c r="B2" i="21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C9" i="20"/>
  <c r="D9" i="20"/>
  <c r="AG19" i="20"/>
  <c r="AG18" i="20"/>
  <c r="AG16" i="20"/>
  <c r="AG15" i="20"/>
  <c r="G22" i="15"/>
  <c r="G21" i="15"/>
  <c r="G20" i="15"/>
  <c r="Q9" i="21" l="1"/>
  <c r="BV7" i="12"/>
  <c r="BU7" i="12"/>
  <c r="BT7" i="12"/>
  <c r="BS7" i="12"/>
  <c r="BR7" i="12"/>
  <c r="BQ7" i="12"/>
  <c r="BP7" i="12"/>
  <c r="BO7" i="12"/>
  <c r="BN7" i="12"/>
  <c r="BM7" i="12"/>
  <c r="BL7" i="12"/>
  <c r="BK7" i="12"/>
  <c r="BB7" i="12"/>
  <c r="BA7" i="12"/>
  <c r="AZ7" i="12"/>
  <c r="AY7" i="12"/>
  <c r="AY8" i="12" s="1"/>
  <c r="AX7" i="12"/>
  <c r="AW7" i="12"/>
  <c r="AV7" i="12"/>
  <c r="AU7" i="12"/>
  <c r="AT7" i="12"/>
  <c r="AS7" i="12"/>
  <c r="AR7" i="12"/>
  <c r="AQ7" i="12"/>
  <c r="AP7" i="12"/>
  <c r="AO7" i="12"/>
  <c r="AN7" i="12"/>
  <c r="AM7" i="12"/>
  <c r="AM8" i="12" s="1"/>
  <c r="AL7" i="12"/>
  <c r="AK7" i="12"/>
  <c r="AJ7" i="12"/>
  <c r="AI7" i="12"/>
  <c r="AH7" i="12"/>
  <c r="AG7" i="12"/>
  <c r="AF7" i="12"/>
  <c r="AE7" i="12"/>
  <c r="AE8" i="12" s="1"/>
  <c r="Q9" i="16" s="1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K8" i="12" s="1"/>
  <c r="H7" i="12"/>
  <c r="G8" i="12"/>
  <c r="E7" i="12"/>
  <c r="D7" i="12"/>
  <c r="C7" i="12"/>
  <c r="C8" i="12" s="1"/>
  <c r="Q2" i="16" s="1"/>
  <c r="BV5" i="11"/>
  <c r="BU5" i="11"/>
  <c r="BT5" i="11"/>
  <c r="BS5" i="11"/>
  <c r="BR5" i="11"/>
  <c r="BQ5" i="11"/>
  <c r="BP5" i="11"/>
  <c r="BO5" i="11"/>
  <c r="BN5" i="11"/>
  <c r="BM5" i="11"/>
  <c r="BL5" i="11"/>
  <c r="BK5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M6" i="11" s="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K6" i="11" s="1"/>
  <c r="G6" i="11"/>
  <c r="F5" i="11"/>
  <c r="E5" i="11"/>
  <c r="C6" i="11"/>
  <c r="P2" i="16" s="1"/>
  <c r="BV7" i="10"/>
  <c r="BU7" i="10"/>
  <c r="BT7" i="10"/>
  <c r="BS7" i="10"/>
  <c r="BR7" i="10"/>
  <c r="BQ7" i="10"/>
  <c r="BP7" i="10"/>
  <c r="BO7" i="10"/>
  <c r="BN7" i="10"/>
  <c r="BM7" i="10"/>
  <c r="BL7" i="10"/>
  <c r="BK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M8" i="10" s="1"/>
  <c r="AL7" i="10"/>
  <c r="AK7" i="10"/>
  <c r="AJ7" i="10"/>
  <c r="AI7" i="10"/>
  <c r="AH7" i="10"/>
  <c r="AG7" i="10"/>
  <c r="AF7" i="10"/>
  <c r="AE7" i="10"/>
  <c r="AE8" i="10" s="1"/>
  <c r="O9" i="16" s="1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O8" i="10" s="1"/>
  <c r="N7" i="10"/>
  <c r="M7" i="10"/>
  <c r="L7" i="10"/>
  <c r="K7" i="10"/>
  <c r="J7" i="10"/>
  <c r="I7" i="10"/>
  <c r="H7" i="10"/>
  <c r="G7" i="10"/>
  <c r="F7" i="10"/>
  <c r="E7" i="10"/>
  <c r="D7" i="10"/>
  <c r="C7" i="10"/>
  <c r="O2" i="16" s="1"/>
  <c r="BV7" i="9"/>
  <c r="BU7" i="9"/>
  <c r="BT7" i="9"/>
  <c r="BS7" i="9"/>
  <c r="BR7" i="9"/>
  <c r="BQ7" i="9"/>
  <c r="BP7" i="9"/>
  <c r="BO7" i="9"/>
  <c r="BN7" i="9"/>
  <c r="BM7" i="9"/>
  <c r="BL7" i="9"/>
  <c r="BK7" i="9"/>
  <c r="BB7" i="9"/>
  <c r="BA7" i="9"/>
  <c r="AZ7" i="9"/>
  <c r="AY7" i="9"/>
  <c r="AX7" i="9"/>
  <c r="AW7" i="9"/>
  <c r="AV7" i="9"/>
  <c r="AU7" i="9"/>
  <c r="AT7" i="9"/>
  <c r="AS7" i="9"/>
  <c r="AR7" i="9"/>
  <c r="AQ7" i="9"/>
  <c r="AQ8" i="9" s="1"/>
  <c r="AP7" i="9"/>
  <c r="AO7" i="9"/>
  <c r="AN7" i="9"/>
  <c r="AM7" i="9"/>
  <c r="AM8" i="9" s="1"/>
  <c r="AL7" i="9"/>
  <c r="AK7" i="9"/>
  <c r="AJ7" i="9"/>
  <c r="AI7" i="9"/>
  <c r="AH7" i="9"/>
  <c r="AG7" i="9"/>
  <c r="AF7" i="9"/>
  <c r="AE7" i="9"/>
  <c r="AD7" i="9"/>
  <c r="AC7" i="9"/>
  <c r="AB7" i="9"/>
  <c r="AA7" i="9"/>
  <c r="AA8" i="9" s="1"/>
  <c r="Z7" i="9"/>
  <c r="Y7" i="9"/>
  <c r="X7" i="9"/>
  <c r="W7" i="9"/>
  <c r="W8" i="9" s="1"/>
  <c r="V7" i="9"/>
  <c r="U7" i="9"/>
  <c r="T7" i="9"/>
  <c r="S7" i="9"/>
  <c r="R7" i="9"/>
  <c r="Q7" i="9"/>
  <c r="P7" i="9"/>
  <c r="O7" i="9"/>
  <c r="O8" i="9" s="1"/>
  <c r="N7" i="9"/>
  <c r="M7" i="9"/>
  <c r="L7" i="9"/>
  <c r="K7" i="9"/>
  <c r="J7" i="9"/>
  <c r="I7" i="9"/>
  <c r="H7" i="9"/>
  <c r="G7" i="9"/>
  <c r="F7" i="9"/>
  <c r="E7" i="9"/>
  <c r="D7" i="9"/>
  <c r="C7" i="9"/>
  <c r="BV8" i="8"/>
  <c r="BU8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F8" i="8"/>
  <c r="BE8" i="8"/>
  <c r="E15" i="15" s="1" a="1"/>
  <c r="BD8" i="8"/>
  <c r="D15" i="15" s="1" a="1"/>
  <c r="BB8" i="8"/>
  <c r="BA8" i="8"/>
  <c r="AZ8" i="8"/>
  <c r="AY8" i="8"/>
  <c r="AY9" i="8" s="1"/>
  <c r="AX8" i="8"/>
  <c r="AW8" i="8"/>
  <c r="AV8" i="8"/>
  <c r="AU8" i="8"/>
  <c r="AT8" i="8"/>
  <c r="AS8" i="8"/>
  <c r="AR8" i="8"/>
  <c r="AQ8" i="8"/>
  <c r="AQ9" i="8" s="1"/>
  <c r="AP8" i="8"/>
  <c r="AO8" i="8"/>
  <c r="AN8" i="8"/>
  <c r="AM8" i="8"/>
  <c r="AM9" i="8" s="1"/>
  <c r="AL8" i="8"/>
  <c r="AK8" i="8"/>
  <c r="AJ8" i="8"/>
  <c r="AI8" i="8"/>
  <c r="AH8" i="8"/>
  <c r="AG8" i="8"/>
  <c r="AF8" i="8"/>
  <c r="AE8" i="8"/>
  <c r="AD8" i="8"/>
  <c r="AC8" i="8"/>
  <c r="AB8" i="8"/>
  <c r="AA8" i="8"/>
  <c r="AA9" i="8" s="1"/>
  <c r="Z8" i="8"/>
  <c r="Y8" i="8"/>
  <c r="X8" i="8"/>
  <c r="W8" i="8"/>
  <c r="W9" i="8" s="1"/>
  <c r="V8" i="8"/>
  <c r="U8" i="8"/>
  <c r="T8" i="8"/>
  <c r="S8" i="8"/>
  <c r="R8" i="8"/>
  <c r="Q8" i="8"/>
  <c r="P8" i="8"/>
  <c r="O8" i="8"/>
  <c r="O9" i="8" s="1"/>
  <c r="N8" i="8"/>
  <c r="M8" i="8"/>
  <c r="L8" i="8"/>
  <c r="K8" i="8"/>
  <c r="J8" i="8"/>
  <c r="I8" i="8"/>
  <c r="H8" i="8"/>
  <c r="G8" i="8"/>
  <c r="F8" i="8"/>
  <c r="E8" i="8"/>
  <c r="D8" i="8"/>
  <c r="C8" i="8"/>
  <c r="BV6" i="7"/>
  <c r="BU6" i="7"/>
  <c r="BT6" i="7"/>
  <c r="BS6" i="7"/>
  <c r="BR6" i="7"/>
  <c r="BQ6" i="7"/>
  <c r="BP6" i="7"/>
  <c r="BO6" i="7"/>
  <c r="BN6" i="7"/>
  <c r="BM6" i="7"/>
  <c r="BL6" i="7"/>
  <c r="BK6" i="7"/>
  <c r="BB6" i="7"/>
  <c r="BA6" i="7"/>
  <c r="AZ6" i="7"/>
  <c r="AY6" i="7"/>
  <c r="AY7" i="7" s="1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W7" i="7" s="1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V11" i="6"/>
  <c r="BU11" i="6"/>
  <c r="BT11" i="6"/>
  <c r="BS11" i="6"/>
  <c r="BR11" i="6"/>
  <c r="BQ11" i="6"/>
  <c r="BP11" i="6"/>
  <c r="BO11" i="6"/>
  <c r="BN11" i="6"/>
  <c r="BM11" i="6"/>
  <c r="BL11" i="6"/>
  <c r="BK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E12" i="6" s="1"/>
  <c r="K9" i="16" s="1"/>
  <c r="AD11" i="6"/>
  <c r="AC11" i="6"/>
  <c r="AB11" i="6"/>
  <c r="AA11" i="6"/>
  <c r="AA12" i="6" s="1"/>
  <c r="Z11" i="6"/>
  <c r="Y11" i="6"/>
  <c r="X11" i="6"/>
  <c r="W11" i="6"/>
  <c r="W12" i="6" s="1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V14" i="5"/>
  <c r="BU14" i="5"/>
  <c r="BT14" i="5"/>
  <c r="BS14" i="5"/>
  <c r="BR14" i="5"/>
  <c r="BQ14" i="5"/>
  <c r="BP14" i="5"/>
  <c r="BO14" i="5"/>
  <c r="BN14" i="5"/>
  <c r="BM14" i="5"/>
  <c r="BL14" i="5"/>
  <c r="BK14" i="5"/>
  <c r="BB14" i="5"/>
  <c r="BA14" i="5"/>
  <c r="AZ14" i="5"/>
  <c r="AY14" i="5"/>
  <c r="AX14" i="5"/>
  <c r="AW14" i="5"/>
  <c r="AV14" i="5"/>
  <c r="AU14" i="5"/>
  <c r="AU15" i="5" s="1"/>
  <c r="AT14" i="5"/>
  <c r="AS14" i="5"/>
  <c r="AR14" i="5"/>
  <c r="AQ14" i="5"/>
  <c r="AP14" i="5"/>
  <c r="AO14" i="5"/>
  <c r="AN14" i="5"/>
  <c r="AM14" i="5"/>
  <c r="AM15" i="5" s="1"/>
  <c r="AL14" i="5"/>
  <c r="AK14" i="5"/>
  <c r="AJ14" i="5"/>
  <c r="AI14" i="5"/>
  <c r="AH14" i="5"/>
  <c r="AG14" i="5"/>
  <c r="AF14" i="5"/>
  <c r="AE14" i="5"/>
  <c r="AE15" i="5" s="1"/>
  <c r="J9" i="16" s="1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G15" i="5" s="1"/>
  <c r="F14" i="5"/>
  <c r="E14" i="5"/>
  <c r="D14" i="5"/>
  <c r="C14" i="5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F16" i="15" s="1"/>
  <c r="BI12" i="4"/>
  <c r="BG12" i="4"/>
  <c r="BF12" i="4"/>
  <c r="BE12" i="4"/>
  <c r="BC12" i="4"/>
  <c r="BC13" i="4" s="1"/>
  <c r="BB12" i="4"/>
  <c r="BA12" i="4"/>
  <c r="AZ12" i="4"/>
  <c r="AY12" i="4"/>
  <c r="AY13" i="4" s="1"/>
  <c r="AX12" i="4"/>
  <c r="AW12" i="4"/>
  <c r="AV12" i="4"/>
  <c r="AU12" i="4"/>
  <c r="AT12" i="4"/>
  <c r="AS12" i="4"/>
  <c r="AR12" i="4"/>
  <c r="AQ12" i="4"/>
  <c r="AP12" i="4"/>
  <c r="AO12" i="4"/>
  <c r="AN12" i="4"/>
  <c r="AM12" i="4"/>
  <c r="AM13" i="4" s="1"/>
  <c r="AL12" i="4"/>
  <c r="AK12" i="4"/>
  <c r="AJ12" i="4"/>
  <c r="AI12" i="4"/>
  <c r="AH12" i="4"/>
  <c r="AG12" i="4"/>
  <c r="AF12" i="4"/>
  <c r="AE12" i="4"/>
  <c r="AD12" i="4"/>
  <c r="AC12" i="4"/>
  <c r="AB12" i="4"/>
  <c r="AA12" i="4"/>
  <c r="AA13" i="4" s="1"/>
  <c r="Z12" i="4"/>
  <c r="Y12" i="4"/>
  <c r="X12" i="4"/>
  <c r="W12" i="4"/>
  <c r="W13" i="4" s="1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V15" i="3"/>
  <c r="BU15" i="3"/>
  <c r="BT15" i="3"/>
  <c r="BS15" i="3"/>
  <c r="BR15" i="3"/>
  <c r="BQ15" i="3"/>
  <c r="BP15" i="3"/>
  <c r="BO15" i="3"/>
  <c r="BN15" i="3"/>
  <c r="BM15" i="3"/>
  <c r="BL15" i="3"/>
  <c r="BK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E16" i="3" s="1"/>
  <c r="H9" i="16" s="1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V14" i="2"/>
  <c r="BU14" i="2"/>
  <c r="BT14" i="2"/>
  <c r="BS14" i="2"/>
  <c r="BR14" i="2"/>
  <c r="BQ14" i="2"/>
  <c r="BP14" i="2"/>
  <c r="BO14" i="2"/>
  <c r="BN14" i="2"/>
  <c r="BM14" i="2"/>
  <c r="BL14" i="2"/>
  <c r="BK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M15" i="2" s="1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G15" i="2" s="1"/>
  <c r="F14" i="2"/>
  <c r="E14" i="2"/>
  <c r="D14" i="2"/>
  <c r="C14" i="2"/>
  <c r="G2" i="16" s="1"/>
  <c r="BV13" i="19"/>
  <c r="BU13" i="19"/>
  <c r="BT13" i="19"/>
  <c r="BS13" i="19"/>
  <c r="BR13" i="19"/>
  <c r="BQ13" i="19"/>
  <c r="BP13" i="19"/>
  <c r="BO13" i="19"/>
  <c r="BN13" i="19"/>
  <c r="BM13" i="19"/>
  <c r="BL13" i="19"/>
  <c r="BK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V9" i="18"/>
  <c r="BU9" i="18"/>
  <c r="BT9" i="18"/>
  <c r="BS9" i="18"/>
  <c r="BR9" i="18"/>
  <c r="BQ9" i="18"/>
  <c r="BP9" i="18"/>
  <c r="BO9" i="18"/>
  <c r="BN9" i="18"/>
  <c r="BM9" i="18"/>
  <c r="BL9" i="18"/>
  <c r="BK9" i="18"/>
  <c r="E16" i="15"/>
  <c r="F15" i="15" a="1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E5" i="15" s="1"/>
  <c r="P9" i="18"/>
  <c r="D5" i="15" s="1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U13" i="1"/>
  <c r="BV13" i="1"/>
  <c r="K13" i="1"/>
  <c r="L13" i="1"/>
  <c r="M13" i="1"/>
  <c r="N13" i="1"/>
  <c r="O13" i="1"/>
  <c r="C5" i="15" s="1"/>
  <c r="P13" i="1"/>
  <c r="Q13" i="1"/>
  <c r="R13" i="1"/>
  <c r="S13" i="1"/>
  <c r="T13" i="1"/>
  <c r="U13" i="1"/>
  <c r="V13" i="1"/>
  <c r="W13" i="1"/>
  <c r="X13" i="1"/>
  <c r="Y13" i="1"/>
  <c r="Z13" i="1"/>
  <c r="AA13" i="1"/>
  <c r="C8" i="15" s="1"/>
  <c r="AB13" i="1"/>
  <c r="AC13" i="1"/>
  <c r="E8" i="15" s="1"/>
  <c r="AD13" i="1"/>
  <c r="F8" i="15" s="1"/>
  <c r="AE13" i="1"/>
  <c r="AF13" i="1"/>
  <c r="AG13" i="1"/>
  <c r="AH13" i="1"/>
  <c r="F9" i="15" s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I13" i="1"/>
  <c r="BJ13" i="1"/>
  <c r="BK13" i="1"/>
  <c r="BL13" i="1"/>
  <c r="BM13" i="1"/>
  <c r="BN13" i="1"/>
  <c r="BP13" i="1"/>
  <c r="BQ13" i="1"/>
  <c r="BR13" i="1"/>
  <c r="BS13" i="1"/>
  <c r="BT13" i="1"/>
  <c r="H13" i="1"/>
  <c r="I13" i="1"/>
  <c r="J13" i="1"/>
  <c r="G13" i="1"/>
  <c r="G14" i="1" s="1"/>
  <c r="D13" i="1"/>
  <c r="E13" i="1"/>
  <c r="F13" i="1"/>
  <c r="F2" i="15" s="1"/>
  <c r="C13" i="1"/>
  <c r="AG3" i="20"/>
  <c r="AG4" i="20"/>
  <c r="AG5" i="20"/>
  <c r="AG6" i="20"/>
  <c r="AG7" i="20"/>
  <c r="AG8" i="20"/>
  <c r="AG9" i="20"/>
  <c r="AG10" i="20"/>
  <c r="AG11" i="20"/>
  <c r="AG12" i="20"/>
  <c r="AG13" i="20"/>
  <c r="AG14" i="20"/>
  <c r="AG17" i="20"/>
  <c r="AG2" i="20"/>
  <c r="B2" i="20"/>
  <c r="AI8" i="12" l="1"/>
  <c r="AI15" i="2"/>
  <c r="BS8" i="12"/>
  <c r="E2" i="15"/>
  <c r="K8" i="10"/>
  <c r="BK6" i="11"/>
  <c r="P17" i="16" s="1"/>
  <c r="E6" i="15"/>
  <c r="F6" i="15"/>
  <c r="F13" i="15"/>
  <c r="C7" i="15"/>
  <c r="D7" i="15"/>
  <c r="AM14" i="19"/>
  <c r="AY16" i="3"/>
  <c r="AA15" i="5"/>
  <c r="AM7" i="7"/>
  <c r="AE9" i="8"/>
  <c r="M9" i="16" s="1"/>
  <c r="E7" i="15"/>
  <c r="W8" i="12"/>
  <c r="F5" i="15"/>
  <c r="G5" i="15" s="1"/>
  <c r="H5" i="15" s="1"/>
  <c r="F7" i="15"/>
  <c r="C3" i="15"/>
  <c r="G3" i="15" s="1"/>
  <c r="H3" i="15" s="1"/>
  <c r="C6" i="15"/>
  <c r="D13" i="15"/>
  <c r="D9" i="15"/>
  <c r="F3" i="15"/>
  <c r="AE8" i="9"/>
  <c r="N9" i="16" s="1"/>
  <c r="E3" i="15"/>
  <c r="D8" i="15"/>
  <c r="G8" i="15" s="1"/>
  <c r="H8" i="15" s="1"/>
  <c r="O8" i="12"/>
  <c r="AQ8" i="12"/>
  <c r="BO8" i="12"/>
  <c r="F17" i="15"/>
  <c r="AA14" i="19"/>
  <c r="O15" i="5"/>
  <c r="E9" i="15"/>
  <c r="D3" i="15"/>
  <c r="D11" i="15"/>
  <c r="AE13" i="4"/>
  <c r="I9" i="16" s="1"/>
  <c r="E4" i="15"/>
  <c r="E11" i="15"/>
  <c r="C10" i="15"/>
  <c r="BG13" i="4"/>
  <c r="AQ15" i="5"/>
  <c r="F4" i="15"/>
  <c r="F11" i="15"/>
  <c r="AA8" i="10"/>
  <c r="W6" i="11"/>
  <c r="AI15" i="5"/>
  <c r="S6" i="11"/>
  <c r="C8" i="10"/>
  <c r="K8" i="9"/>
  <c r="C8" i="9"/>
  <c r="N2" i="16" s="1"/>
  <c r="K9" i="8"/>
  <c r="BO9" i="8"/>
  <c r="K7" i="7"/>
  <c r="C12" i="6"/>
  <c r="K2" i="16" s="1"/>
  <c r="S15" i="5"/>
  <c r="C15" i="5"/>
  <c r="J2" i="16" s="1"/>
  <c r="K15" i="5"/>
  <c r="C4" i="15"/>
  <c r="K13" i="4"/>
  <c r="C16" i="3"/>
  <c r="H2" i="16" s="1"/>
  <c r="K15" i="2"/>
  <c r="K14" i="19"/>
  <c r="C14" i="19"/>
  <c r="F2" i="16" s="1"/>
  <c r="D4" i="15"/>
  <c r="D2" i="15"/>
  <c r="D6" i="15"/>
  <c r="BO6" i="11"/>
  <c r="AI6" i="11"/>
  <c r="AY6" i="11"/>
  <c r="D10" i="15"/>
  <c r="D14" i="15"/>
  <c r="E10" i="15"/>
  <c r="F14" i="15"/>
  <c r="G7" i="15"/>
  <c r="H7" i="15" s="1"/>
  <c r="C11" i="15"/>
  <c r="G11" i="15" s="1"/>
  <c r="H11" i="15" s="1"/>
  <c r="E14" i="15"/>
  <c r="F10" i="15"/>
  <c r="C12" i="15"/>
  <c r="D12" i="15"/>
  <c r="F12" i="15"/>
  <c r="C13" i="15"/>
  <c r="E12" i="15"/>
  <c r="E13" i="15"/>
  <c r="BS9" i="8"/>
  <c r="BG9" i="8"/>
  <c r="BC9" i="8"/>
  <c r="BK8" i="9"/>
  <c r="N17" i="16" s="1"/>
  <c r="BK15" i="5"/>
  <c r="J17" i="16" s="1"/>
  <c r="E17" i="15"/>
  <c r="BO15" i="2"/>
  <c r="BK15" i="2"/>
  <c r="G17" i="16" s="1"/>
  <c r="E15" i="15"/>
  <c r="F15" i="15"/>
  <c r="D15" i="15"/>
  <c r="D17" i="15"/>
  <c r="C16" i="15"/>
  <c r="D16" i="15"/>
  <c r="BS8" i="9"/>
  <c r="E19" i="15"/>
  <c r="F19" i="15"/>
  <c r="D19" i="15"/>
  <c r="C19" i="15"/>
  <c r="BO14" i="19"/>
  <c r="F18" i="15"/>
  <c r="E18" i="15"/>
  <c r="D18" i="15"/>
  <c r="C17" i="15"/>
  <c r="C18" i="15"/>
  <c r="C9" i="15"/>
  <c r="G9" i="15" s="1"/>
  <c r="H9" i="15" s="1"/>
  <c r="AA10" i="18"/>
  <c r="BC10" i="18"/>
  <c r="C15" i="15" a="1"/>
  <c r="C15" i="15" s="1"/>
  <c r="AY10" i="18"/>
  <c r="C14" i="15"/>
  <c r="C10" i="18"/>
  <c r="E2" i="16" s="1"/>
  <c r="AE10" i="18"/>
  <c r="E9" i="16" s="1"/>
  <c r="C2" i="15"/>
  <c r="BS15" i="5"/>
  <c r="BO15" i="5"/>
  <c r="AU8" i="12"/>
  <c r="AA8" i="12"/>
  <c r="AY8" i="9"/>
  <c r="BO8" i="10"/>
  <c r="BK8" i="12"/>
  <c r="Q17" i="16" s="1"/>
  <c r="S8" i="12"/>
  <c r="BG10" i="18"/>
  <c r="BS14" i="1"/>
  <c r="BO8" i="9"/>
  <c r="C9" i="8"/>
  <c r="M2" i="16" s="1"/>
  <c r="BO13" i="4"/>
  <c r="AA6" i="11"/>
  <c r="AU6" i="11"/>
  <c r="AE6" i="11"/>
  <c r="P9" i="16" s="1"/>
  <c r="O6" i="11"/>
  <c r="AQ6" i="11"/>
  <c r="BS6" i="11"/>
  <c r="G8" i="10"/>
  <c r="AQ8" i="10"/>
  <c r="BS8" i="10"/>
  <c r="AI8" i="10"/>
  <c r="S8" i="10"/>
  <c r="AU8" i="10"/>
  <c r="BK8" i="10"/>
  <c r="O17" i="16" s="1"/>
  <c r="W8" i="10"/>
  <c r="AY8" i="10"/>
  <c r="S8" i="9"/>
  <c r="AU8" i="9"/>
  <c r="G8" i="9"/>
  <c r="AI8" i="9"/>
  <c r="AI9" i="8"/>
  <c r="G9" i="8"/>
  <c r="BK9" i="8"/>
  <c r="M17" i="16" s="1"/>
  <c r="S9" i="8"/>
  <c r="AU9" i="8"/>
  <c r="AA7" i="7"/>
  <c r="AE7" i="7"/>
  <c r="L9" i="16" s="1"/>
  <c r="BO7" i="7"/>
  <c r="O7" i="7"/>
  <c r="BS7" i="7"/>
  <c r="AQ7" i="7"/>
  <c r="BK7" i="7"/>
  <c r="L17" i="16" s="1"/>
  <c r="C7" i="7"/>
  <c r="L2" i="16" s="1"/>
  <c r="AI7" i="7"/>
  <c r="S7" i="7"/>
  <c r="AU7" i="7"/>
  <c r="G7" i="7"/>
  <c r="K12" i="6"/>
  <c r="AM12" i="6"/>
  <c r="BO12" i="6"/>
  <c r="O12" i="6"/>
  <c r="AQ12" i="6"/>
  <c r="BS12" i="6"/>
  <c r="AY12" i="6"/>
  <c r="G12" i="6"/>
  <c r="AI12" i="6"/>
  <c r="BK12" i="6"/>
  <c r="K17" i="16" s="1"/>
  <c r="S12" i="6"/>
  <c r="AU12" i="6"/>
  <c r="W15" i="5"/>
  <c r="AY15" i="5"/>
  <c r="C13" i="4"/>
  <c r="I2" i="16" s="1"/>
  <c r="G13" i="4"/>
  <c r="AI13" i="4"/>
  <c r="O13" i="4"/>
  <c r="AQ13" i="4"/>
  <c r="BS13" i="4"/>
  <c r="BK13" i="4"/>
  <c r="I17" i="16" s="1"/>
  <c r="S13" i="4"/>
  <c r="AU13" i="4"/>
  <c r="K16" i="3"/>
  <c r="AM16" i="3"/>
  <c r="W16" i="3"/>
  <c r="AA16" i="3"/>
  <c r="O16" i="3"/>
  <c r="AQ16" i="3"/>
  <c r="BS16" i="3"/>
  <c r="BK16" i="3"/>
  <c r="H17" i="16" s="1"/>
  <c r="G16" i="3"/>
  <c r="BO16" i="3"/>
  <c r="S16" i="3"/>
  <c r="AU16" i="3"/>
  <c r="AI16" i="3"/>
  <c r="AE15" i="2"/>
  <c r="G9" i="16" s="1"/>
  <c r="O15" i="2"/>
  <c r="AQ15" i="2"/>
  <c r="BS15" i="2"/>
  <c r="C15" i="2"/>
  <c r="AA15" i="2"/>
  <c r="S15" i="2"/>
  <c r="AU15" i="2"/>
  <c r="W15" i="2"/>
  <c r="AY15" i="2"/>
  <c r="G14" i="19"/>
  <c r="AI14" i="19"/>
  <c r="BK14" i="19"/>
  <c r="F17" i="16" s="1"/>
  <c r="BS14" i="19"/>
  <c r="O14" i="19"/>
  <c r="AQ14" i="19"/>
  <c r="AE14" i="19"/>
  <c r="F9" i="16" s="1"/>
  <c r="S14" i="19"/>
  <c r="AU14" i="19"/>
  <c r="W14" i="19"/>
  <c r="AY14" i="19"/>
  <c r="K10" i="18"/>
  <c r="AM10" i="18"/>
  <c r="BS10" i="18"/>
  <c r="O10" i="18"/>
  <c r="AQ10" i="18"/>
  <c r="W10" i="18"/>
  <c r="G10" i="18"/>
  <c r="BO10" i="18"/>
  <c r="AI10" i="18"/>
  <c r="BK10" i="18"/>
  <c r="E17" i="16" s="1"/>
  <c r="S10" i="18"/>
  <c r="AU10" i="18"/>
  <c r="G13" i="15" l="1"/>
  <c r="H13" i="15" s="1"/>
  <c r="G6" i="15"/>
  <c r="H6" i="15" s="1"/>
  <c r="G10" i="15"/>
  <c r="H10" i="15" s="1"/>
  <c r="G4" i="15"/>
  <c r="H4" i="15" s="1"/>
  <c r="G2" i="15"/>
  <c r="H2" i="15" s="1"/>
  <c r="G12" i="15"/>
  <c r="H12" i="15" s="1"/>
  <c r="G14" i="15"/>
  <c r="H14" i="15" s="1"/>
  <c r="G15" i="15"/>
  <c r="G17" i="15"/>
  <c r="G16" i="15"/>
  <c r="G19" i="15"/>
  <c r="G18" i="15"/>
  <c r="C2" i="16"/>
  <c r="G23" i="15" l="1"/>
  <c r="B2" i="17"/>
  <c r="AQ14" i="1" l="1"/>
  <c r="AM14" i="1"/>
  <c r="AA14" i="1"/>
  <c r="AU14" i="1"/>
  <c r="AY14" i="1"/>
  <c r="AI14" i="1"/>
  <c r="O14" i="1"/>
  <c r="S14" i="1"/>
  <c r="W14" i="1"/>
  <c r="BK14" i="1"/>
  <c r="D17" i="16" s="1"/>
  <c r="R17" i="16" s="1"/>
  <c r="K14" i="1"/>
  <c r="AE14" i="1"/>
  <c r="D9" i="16" s="1"/>
  <c r="R9" i="16" s="1"/>
  <c r="C14" i="1"/>
  <c r="D2" i="16" s="1"/>
  <c r="R2" i="16" s="1"/>
  <c r="BO14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<sst xmlns="http://schemas.openxmlformats.org/spreadsheetml/2006/main" count="1605" uniqueCount="247">
  <si>
    <t>REGION</t>
  </si>
  <si>
    <t>DELEGACION POLICIAL</t>
  </si>
  <si>
    <t>PRIMER TRIMESTRE</t>
  </si>
  <si>
    <t>SEGUNDO TRIMESTRE</t>
  </si>
  <si>
    <t>TERCER TRIMESTRE</t>
  </si>
  <si>
    <t>CUARTO TRIMESTRE</t>
  </si>
  <si>
    <t>METROPOLITANA</t>
  </si>
  <si>
    <t>TOTAL</t>
  </si>
  <si>
    <t>TOTAL 
CUMPLIDO</t>
  </si>
  <si>
    <t>DIFERENCIA
POR
CUMPLIR</t>
  </si>
  <si>
    <t>TOTAL 
PARTICIPANTES
PRIMER TRIMESTRE</t>
  </si>
  <si>
    <t>TOTAL 
PARTICIPANTES
SEGUNDO TRIMESTRE</t>
  </si>
  <si>
    <t>TOTAL 
PARTICIPANTES
TERCER TRIMESTRE</t>
  </si>
  <si>
    <t>TOTAL 
PARTICIPANTES
CUARTO TRIMESTRE</t>
  </si>
  <si>
    <t>CUMPLIMIENTO
PRIMER 
SEMESTRE</t>
  </si>
  <si>
    <t>CUMPLIMIENTO
SEGUNDO 
SEMESTRE</t>
  </si>
  <si>
    <t>META 
POR
CUMPLIR A NIVEL NACIONAL</t>
  </si>
  <si>
    <t>1% 
POBLACIÓN INSTITUCIONAL
280 FUNCINARIOS/AS</t>
  </si>
  <si>
    <t>TOTAL DE PERSONAS 
ALCANZADAS EN TODAS LAS
ACTIVIDADES PLANOVI</t>
  </si>
  <si>
    <t>REGIÓN 5
CHOROTEGA</t>
  </si>
  <si>
    <t>REGIÓN 6
PACÍFICO CENTRAL</t>
  </si>
  <si>
    <t>REGIÓN 7
BRUNCA</t>
  </si>
  <si>
    <t>REGIÓN 8
HUÉTAR NORTE</t>
  </si>
  <si>
    <t>REGIÓN 9
HUÉTAR ATLÁNTICA</t>
  </si>
  <si>
    <t>REGIÓN 10 
BRUNCA SUR</t>
  </si>
  <si>
    <t>REGIÓN 11
CHOROTEGA NORTE</t>
  </si>
  <si>
    <t>REGIÓN 12
CARIBE</t>
  </si>
  <si>
    <t>REGIÓN 1
SAN JOSÉ CENTRAL</t>
  </si>
  <si>
    <t>REGIÓN 2
ALAJUELA</t>
  </si>
  <si>
    <t>REGIÓN 3
CARTAGO</t>
  </si>
  <si>
    <t>REGIÓN 4
HEREDIA</t>
  </si>
  <si>
    <t>REGIÓN 1
SAN JOSÉ NORTE</t>
  </si>
  <si>
    <t>REGIÓN 1
SAN JOSÉ 
SUR</t>
  </si>
  <si>
    <t>REGION 1
SAN JOSÉ 
CENTRAL</t>
  </si>
  <si>
    <t>DELEGACIÓN POLICIAL 
PAVAS</t>
  </si>
  <si>
    <t>DELEGACIÓN POLICIAL 
MATA REDONDA</t>
  </si>
  <si>
    <t>DELEGACIÓN POLICIAL 
CURRIDABAT</t>
  </si>
  <si>
    <t>DELEGACIÓN POLICIAL 
DESAMPARADOS 
SUR</t>
  </si>
  <si>
    <t>DELEGACIÓN POLICIAL 
ALAJUELITA</t>
  </si>
  <si>
    <t>DELEGACIÓN POLICIAL 
TARRAZU</t>
  </si>
  <si>
    <t>DELEGACIÓN POLICIAL 
DOTA</t>
  </si>
  <si>
    <t>DELEGACIÓN POLICIAL 
LEON CORTES</t>
  </si>
  <si>
    <t>DELEGACIÓN POLICIAL 
HEREDIA</t>
  </si>
  <si>
    <t>DELEGACIÓN POLICIAL 
LA CRUZ</t>
  </si>
  <si>
    <t>DELEGACIÓN POLICIAL 
SAN CARLOS
ESTE</t>
  </si>
  <si>
    <t>DELEGACIÓN POLICIAL 
SAN CARLOS
OESTE</t>
  </si>
  <si>
    <t>DELEGACIÓN POLICIAL 
GUATUSO</t>
  </si>
  <si>
    <t>DELEGACIÓN POLICIAL 
MATINA</t>
  </si>
  <si>
    <t>DELEGACIÓN POLICIAL 
TALAMANCA</t>
  </si>
  <si>
    <t>DELEGACIÓN POLICIAL 
CORREDORES</t>
  </si>
  <si>
    <t>DELEGACION POLICIAL 
LOS CHILES</t>
  </si>
  <si>
    <t>DELEGACION POLICIAL 
UPALA</t>
  </si>
  <si>
    <t>DELEGACION POLICIAL 
SARAPIQUÍ</t>
  </si>
  <si>
    <t>ACTIVIDAD 2
CHARLA PREVENCIÓN DE LA VIOLENCIA DOMÉSTICA E INTRAFAMILIAR 
(PERSONAS ADULTAS)
EJECUTAR MES DE AGOSTO 
LINEA BASE 25 PERSONAS</t>
  </si>
  <si>
    <t>ACTIVIDAD 3
CHARLA PREVENCIÓN DE LA MASCULINIDAD POR LA IGUALDAD (JOVENES Y ADOLESCENTES)
EJECUTAR MES DE MAYO
LÍNEA BASE 75 PERSONAS</t>
  </si>
  <si>
    <t>ACTIVIDAD 1
CHARLA PREVENCIÓN DE LA VIOLENCIA EN RELACIONES DE PAREJA 
(JOVENES ADOLESCENTES)
EJECUTAR MES DE MAYO
LÍNEA BASE 100 PERSONAS</t>
  </si>
  <si>
    <t xml:space="preserve">ACTIVIDAD 8
ESTRATEGIA DE COMUNICACIÓN EJE 1 PLANOVI
PREVENCION DE LA VIOLENCIA CONTRA LAS MUJERES
EJECUTAR MES DE MARZO
LÍNEA BASE 100 PERSONAS
</t>
  </si>
  <si>
    <t>ACTIVIDAD 10
ESTRATEGIA DE COMUNICACIÓN EJE 5 PLANOVI 
PREVENCIÓN, ATENCIÓN INTEGRAL Y NO-REVICTIMIZACIÓN FRENTE A LA VIOLENCIA SEXUAL
EJECUTAR MES DE SETIEMBRE
LÍNEA BASE 100 PERSONAS</t>
  </si>
  <si>
    <t>ACTIVIDAD 9
ESTRATEGIA DE COMUNICACIÓN EJE 2 PLANOVI 
MASCULINIDAD POR LA IGUALDAD
EJECUTAR MES DE JUNIO
LÍNEA BASE 100 PERSONAS</t>
  </si>
  <si>
    <t>ACTIVIDAD 11
ESTRATEGIA DE COMUNICACIÓN EJE 6 PLANOVI 
PREVENCIÓN DEL FEMICIDIO
EJECUTAR MES DE NOVIEMBRE
LÍNEA BASE 100 PERSONAS</t>
  </si>
  <si>
    <t>ACTIVIDAD 5
CHARLA TRATA DE PERSONAS JOVENES ADOLESCENTES
EJECUTAR MES DE MAYO
LÍNEA BASE 50 PERSONAS</t>
  </si>
  <si>
    <t>ACTIVIDAD 8
ESTRATEGIA DE COMUNICACIÓN EJE 1 PLANOVI
PREVENCION DE LA VIOLENCIA CONTRA LAS MUJERES
EJECUTAR MES DE MARZO
LÍNEA BASE 100 PERSONAS</t>
  </si>
  <si>
    <t>ACTIVIDAD 7
CHARLA PREVENCIÓN DEL FEMICIDIO Y DIVULGACION COMITES CLAIS 
PERSONAS ADULTAS
EJECUTAR MES DE OCTUBRE
LÍNEA BASE 15</t>
  </si>
  <si>
    <t>D-10 CURRIDABAT</t>
  </si>
  <si>
    <t>D-11 MONTES DE OCA</t>
  </si>
  <si>
    <t>D-2 MERCED</t>
  </si>
  <si>
    <t xml:space="preserve"> D-3 HOSPITAL</t>
  </si>
  <si>
    <t xml:space="preserve"> D-5 SAN SEBASTIAN</t>
  </si>
  <si>
    <t xml:space="preserve"> D-6 HATILLO</t>
  </si>
  <si>
    <t xml:space="preserve"> D-7 ZAPOTE/SAN FRANCISCO</t>
  </si>
  <si>
    <t xml:space="preserve"> D-8 PAVAS</t>
  </si>
  <si>
    <t xml:space="preserve">  D-9 URUCA/MATA REDONDA</t>
  </si>
  <si>
    <t xml:space="preserve"> D-43 OREAMUNO</t>
  </si>
  <si>
    <t>D-1 CARMEN</t>
  </si>
  <si>
    <t xml:space="preserve"> D-4 CATEDRAL</t>
  </si>
  <si>
    <t>D-63 BAGACES</t>
  </si>
  <si>
    <t>D-65 CAÑAS</t>
  </si>
  <si>
    <t>D-67 TILARAN</t>
  </si>
  <si>
    <t>D-68 NANDAYURE</t>
  </si>
  <si>
    <t>D-69 HOJANCHA</t>
  </si>
  <si>
    <t>D-70 LA CRUZ</t>
  </si>
  <si>
    <t>D-73 MONTES DE ORO</t>
  </si>
  <si>
    <t>D-74 QUEPOS</t>
  </si>
  <si>
    <t>D-76 GARABITO</t>
  </si>
  <si>
    <t>D-77 PAQUERA</t>
  </si>
  <si>
    <t>D-79 PEREZ ZELEDON</t>
  </si>
  <si>
    <t>D-90 SIQUIRRES</t>
  </si>
  <si>
    <t>D-88 LIMON</t>
  </si>
  <si>
    <t>D-92 MATINA</t>
  </si>
  <si>
    <t>D-91 TALAMANCA</t>
  </si>
  <si>
    <t>D-84 UPALA</t>
  </si>
  <si>
    <t>D-96 CORREDORES</t>
  </si>
  <si>
    <t>D-94 GOLFITO</t>
  </si>
  <si>
    <t>D-93 GUACIMO</t>
  </si>
  <si>
    <t>ACTIVIDAD 4
CHARLA PREVENCIÓN DE LA MASCULINIDAD POR LA IGUALDAD ADULTOS (COMUNIDAD)
EJECUTAR MES DE AGOSTO
LÍNEA BASE 15 PERSONAS</t>
  </si>
  <si>
    <t xml:space="preserve">ACTIVIDAD 6
CHARLA TRATA DE PERSONAS 
ADULTOS COMUNIDADES
EJECUTAR MES DE AGOSTO
LÍNEA BASE 10 PARTICIPANTES </t>
  </si>
  <si>
    <t>D-83 ZARCERO</t>
  </si>
  <si>
    <t>D-86 GUATUSO</t>
  </si>
  <si>
    <t>D-87 RIO CUARTO</t>
  </si>
  <si>
    <t>ACTIVIDAD 1
CHARLA PREVENCIÓN DE LA VIOLENCIA EN RELACIONES DE PAREJA
EJE 1 PLANOVI 
(JOVENES ADOLESCENTES)
EJECUTAR MES DE MAYO
LÍNEA BASE 100 PERSONAS</t>
  </si>
  <si>
    <t>ACTIVIDAD 3
CHARLA PREVENCIÓN DE LA MASCULINIDAD POR LA IGUALDAD 
EJE 2 PLANOVI
(JOVENES Y ADOLESCENTES)
EJECUTAR MES DE MAYO
LÍNEA BASE 75 PERSONAS</t>
  </si>
  <si>
    <t>ACTIVIDAD 2
CHARLA PREVENCIÓN DE LA VIOLENCIA DOMÉSTICA E INTRAFAMILIAR 
EJE 1 PLANOVI
(PERSONAS ADULTAS)
EJECUTAR MES DE AGOSTO 
LINEA BASE 25 PERSONAS</t>
  </si>
  <si>
    <t>ACTIVIDAD 4
CHARLA PREVENCIÓN DE LA MASCULINIDAD POR LA IGUALDAD ADULTOS 
EJE 2 PLANOVI
(COMUNIDAD)
EJECUTAR MES DE AGOSTO
LÍNEA BASE 15 PERSONAS</t>
  </si>
  <si>
    <t xml:space="preserve">ACTIVIDAD 5
CHARLA TRATA DE PERSONAS JOVENES ADOLESCENTES
EJE 1 CONATT
EJECUTAR MES DE MAYO
LÍNEA BASE 50 PERSONAS
</t>
  </si>
  <si>
    <t xml:space="preserve">ACTIVIDAD 6
CHARLA TRATA DE PERSONAS ADULTOS COMUNIDADES
EJE 1 CONATT
EJECUTAR MES DE AGOSTO
LÍNEA BASE 10 PARTICIPANTES 
</t>
  </si>
  <si>
    <t>ACTIVIDAD 7
CHARLA PREVENCIÓN DEL FEMICIDIO Y DIVULGACION COMITES CLAIS 
PERSONAS ADULTAS
EJE 6 PLANOVI
EJECUTAR MES DE OCTUBRE
LÍNEA BASE 15</t>
  </si>
  <si>
    <t>ACTIVIDAD 12
ESTRATEGIA DE COMUNICACIÓN EJE 1 CONATT
CONTRA LA TRATA DE PERSONAS
EJECUTAR MES DE JULIO
LÍNEA BASE 100 PERSONAS</t>
  </si>
  <si>
    <t>ACTIVIDAD 13
ESTRATEGIA DE COMUNICACIÓN EJE 1 CONATT
TRAFICO ILICITO PERSONAS MIGRANTES
EJECUTAR MES DE DICIEMBRE
LÍNEA BASE 100 PERSONAS</t>
  </si>
  <si>
    <t>ACTIVIDAD 5
CHARLA TRATA DE PERSONAS JOVENES ADOLESCENTES
EJE 1 CONATT
EJECUTAR MES DE MAYO
LÍNEA BASE 50 PERSONAS</t>
  </si>
  <si>
    <t xml:space="preserve">ACTIVIDAD 6
CHARLA TRATA DE PERSONAS ADULTOS COMUNIDADES
EJE 1 CONATT
EJECUTAR MES DE AGOSTO
LÍNEA BASE 10 PARTICIPANTES </t>
  </si>
  <si>
    <t>PRIMERA
SAN JOSE CENTRAL</t>
  </si>
  <si>
    <t>D-20 ALAJUELITA</t>
  </si>
  <si>
    <t>D-21 ESCAZU</t>
  </si>
  <si>
    <t xml:space="preserve">DELEGACIÓN POLICIAL 
DESAMPARADOS
NORTE </t>
  </si>
  <si>
    <t>DELEGACIÓN POLICIAL 
DESAMPARADOS
SUR</t>
  </si>
  <si>
    <t>DELEGACIÓN POLICIAL 
MORA</t>
  </si>
  <si>
    <t>DELEGACION POLICIAL ALAJUELA NORTE</t>
  </si>
  <si>
    <t>DELEGACIÓN POLICIAL 
ALAJUELA SUR</t>
  </si>
  <si>
    <t>DELEGACIÓN POLICIAL 
PALMARES</t>
  </si>
  <si>
    <t>DELEGACIÓN POLICIAL 
OROTINA</t>
  </si>
  <si>
    <t>DELEGACIÓN POLICIAL 
CARTAGO</t>
  </si>
  <si>
    <t>DELEGACIÓN POLICIAL 
TURRIALBA</t>
  </si>
  <si>
    <t>DELEGACIÓN POLICIAL 
BARVA</t>
  </si>
  <si>
    <t>DELEGACIÓN POLICIAL 
SANTA CRUZ</t>
  </si>
  <si>
    <t>DELEGACIÓN POLICIAL 
CAÑAS</t>
  </si>
  <si>
    <t>DELEGACIÓN POLICIAL 
NICOYA</t>
  </si>
  <si>
    <t>DELEGACIÓN POLICIAL 
PUNTARENAS</t>
  </si>
  <si>
    <t>DELEGACION POLICIAL 
PEREZ ZELEDON</t>
  </si>
  <si>
    <t>DELEGACION POLICIAL 
BUENOS AIRES</t>
  </si>
  <si>
    <t>DELEGACION POLICIAL 
OSA</t>
  </si>
  <si>
    <t>DELEGACION POLICIAL SAN CARLOS ESTE</t>
  </si>
  <si>
    <t>DELEGACION POLICIAL SAN CARLOS OESTE</t>
  </si>
  <si>
    <t>DELEGACION POLICIAL
LIMON</t>
  </si>
  <si>
    <t>DELEGACION POLICIAL CORREDORES</t>
  </si>
  <si>
    <t>DELEGACION POLICIAL UPALA</t>
  </si>
  <si>
    <t>DELEGACIÓN POLICIAL 
ESPARZA</t>
  </si>
  <si>
    <t>DELEGACION POLICIAL 
GARABITO</t>
  </si>
  <si>
    <t>DELEGACION POLICIAL 
LIBERIA</t>
  </si>
  <si>
    <t>DELEGACION POLICIAL 
COTO BRUS</t>
  </si>
  <si>
    <t xml:space="preserve">ACTIVIDAD 14
ESTRATEGIA DE COMUNICACIÓN JUSTICIA RESTAURATIVA
EJECUTAR MES DE ABRIL
50% COMITÉS SEGURIDAD COMUNITARIA
</t>
  </si>
  <si>
    <t>ACTIVIDAD 15
ESTRATEGIA DE COMUNICACIÓN JUSTICIA RESTAURATIVA
EJECUTAR MES DE ABRIL
50% COMERCIOS</t>
  </si>
  <si>
    <t>ACTIVIDAD 16
REPRESENTACION INSTITUCIONAL
REDES CONTRA LA VIOLENCIA INTRAFAMILIAR PLANOVI
CANTIDAD DE PARTICIPACIÓN POR TRIMESTRE</t>
  </si>
  <si>
    <t>ACTIVIDAD 17
REPRESENTACION INSTITUCIONAL
SUBSISTEMA LOCAL NIÑEZ Y ADOLESCENCIA (PANI)
CANTIDAD DE PARTICIPACIÓN POR TRIMESTRE</t>
  </si>
  <si>
    <t>ACTIVIDAD 18
REPRESENTACION INSTITUCIONAL
COMITÉ LOCAL CLAIS
(PODER JUDICIAL-INAMU-FUERZA PUBLICA)
CANTIDAD DE PARTICIPACIÓN POR TRIMESTRE</t>
  </si>
  <si>
    <t xml:space="preserve"> D-12 GOICOECHEA</t>
  </si>
  <si>
    <t xml:space="preserve"> D-13 MORAVIA</t>
  </si>
  <si>
    <t xml:space="preserve"> D-14 TIBAS</t>
  </si>
  <si>
    <t xml:space="preserve"> D-15 CORONADO</t>
  </si>
  <si>
    <t>REGIÓN 1 SAN JOSE NORTE</t>
  </si>
  <si>
    <t>D-17 DESAMPARADOS SUR</t>
  </si>
  <si>
    <t>D-18 ASERRI</t>
  </si>
  <si>
    <t>D-19  ACOSTA</t>
  </si>
  <si>
    <t xml:space="preserve">D-22 SANTA ANA </t>
  </si>
  <si>
    <t xml:space="preserve"> D-23 MORA </t>
  </si>
  <si>
    <t xml:space="preserve">D-24 PURISCAL </t>
  </si>
  <si>
    <t xml:space="preserve">D-25 TURRUBARES </t>
  </si>
  <si>
    <t>PRIMERA SAN JOSE SUR</t>
  </si>
  <si>
    <t xml:space="preserve">D-27 ALAJUELA NORTE </t>
  </si>
  <si>
    <t>D-28  SAN RAMON</t>
  </si>
  <si>
    <t xml:space="preserve">D-29 GRECIA </t>
  </si>
  <si>
    <t xml:space="preserve">D-30 SAN MATEO </t>
  </si>
  <si>
    <t>D-31 ATENAS</t>
  </si>
  <si>
    <t xml:space="preserve">D-32  NARANJO </t>
  </si>
  <si>
    <t xml:space="preserve">D-33 PALMARES </t>
  </si>
  <si>
    <t xml:space="preserve">D-34 POAS </t>
  </si>
  <si>
    <t xml:space="preserve">D-35 OROTINA </t>
  </si>
  <si>
    <t>D-36 SARCHI</t>
  </si>
  <si>
    <t>D-37 CARTAGO</t>
  </si>
  <si>
    <t>D-38 PARAISO</t>
  </si>
  <si>
    <t xml:space="preserve">D-39 LA UNION </t>
  </si>
  <si>
    <t xml:space="preserve">D-40 JIMENEZ </t>
  </si>
  <si>
    <t>D-41 TURRIALBA</t>
  </si>
  <si>
    <t>D-44 EL GUARCO</t>
  </si>
  <si>
    <t>D-45 TARRAZU</t>
  </si>
  <si>
    <t>D-46 DOTA</t>
  </si>
  <si>
    <t>D-48 GUADALUPE</t>
  </si>
  <si>
    <t>REGION 3 CARTAGO</t>
  </si>
  <si>
    <t xml:space="preserve">REGION 4 HEREDIA </t>
  </si>
  <si>
    <t>D-49 HEREDIA</t>
  </si>
  <si>
    <t xml:space="preserve">D-52 SANTA BARBARA </t>
  </si>
  <si>
    <t>D-53 SAN RAFAEL</t>
  </si>
  <si>
    <t xml:space="preserve">D-54 SAN ISIDRO </t>
  </si>
  <si>
    <t xml:space="preserve">D-55 BELEN </t>
  </si>
  <si>
    <t xml:space="preserve">D-56 FLORES </t>
  </si>
  <si>
    <t xml:space="preserve">D-57 SAN PABLO </t>
  </si>
  <si>
    <t xml:space="preserve">D-60 LIBERIA </t>
  </si>
  <si>
    <t>D-61  NICOYA</t>
  </si>
  <si>
    <t xml:space="preserve">D-62 SANTA CRUZ </t>
  </si>
  <si>
    <t xml:space="preserve">D-64 CARRILLO </t>
  </si>
  <si>
    <t xml:space="preserve">D-66 ABANGARES </t>
  </si>
  <si>
    <t>REGION 5 CHOROTEGA</t>
  </si>
  <si>
    <t xml:space="preserve">D-71 PUNTARENAS </t>
  </si>
  <si>
    <t xml:space="preserve">D-72 ESPARZA </t>
  </si>
  <si>
    <t>D-75 PARRITA</t>
  </si>
  <si>
    <t>D-78  JUDAS DE CHOMES</t>
  </si>
  <si>
    <t>REION 6 PACIFICO CENTRAL</t>
  </si>
  <si>
    <t xml:space="preserve">D-80 BUENOS AIRES </t>
  </si>
  <si>
    <t>REGION 7 BRUNCA</t>
  </si>
  <si>
    <t>D-82 O SAN CARLO OESTE</t>
  </si>
  <si>
    <t>REGION 8 HUETAR NORTE</t>
  </si>
  <si>
    <t>REGION 9 HUETAR ATALANTICA</t>
  </si>
  <si>
    <t>REGION 10 BRUNCA SUR</t>
  </si>
  <si>
    <t xml:space="preserve">REGION 11 CHOROTEGA NORTE </t>
  </si>
  <si>
    <t>REGION 12 CARIBE</t>
  </si>
  <si>
    <t>D-58 SARAPIQUI</t>
  </si>
  <si>
    <t>D-16 DESAMPARADOS NORTE</t>
  </si>
  <si>
    <t xml:space="preserve">D-95 COTO BRUS </t>
  </si>
  <si>
    <t>D-97 PUERTO JIMENEZ</t>
  </si>
  <si>
    <t xml:space="preserve">D-50 BARVA </t>
  </si>
  <si>
    <t>D-82 E  SAN CARLOS ESTE</t>
  </si>
  <si>
    <t>D-85 LOS CHILES</t>
  </si>
  <si>
    <t>D-89 POCOCI SUR</t>
  </si>
  <si>
    <t>ACTIVIDAD 14
ESTRATEGIA DE COMUNICACIÓN 
JUSTICIA RESTAURATIVA
EJECUTAR MES DE ABRIL
LÍNEA BASE 50% COMITÉS DE SEGURIDAD COMUNITARIA A NIVEL LOCAL</t>
  </si>
  <si>
    <t>ACTIVIDAD 15
ESTRATEGIA DE COMUNICACIÓN 
JUSTICIA RESTAURATIVA
EJECUTAR MES DE ABRIL
LÍNEA BASE 50% COMERCIOS A NIVEL LOCAL</t>
  </si>
  <si>
    <t>ACTIVIDAD 16
REPRESENTACION INSTITUCIONAL
REDES CONTRA LA VIOLENCIA INTRAFAMILIAR
CANTIDAD DE PARTICIPACIÓN POR TRIMESTRE</t>
  </si>
  <si>
    <t>ACTIVIDAD 17
REPRESENTACION INSTITUCIONAL
SUBSISTEMA LOCAL NIÑEZ Y ADOLESCENCIA
CANTIDAD DE PARTICIPACIÓN POR TRIMESTRE</t>
  </si>
  <si>
    <t>ACTIVIDAD 18
REPRESENTACION INSTITUCIONAL
COMITÉ LOCAL CLAIS
CANTIDAD DE PARTICIPACIÓN POR TRIMESTRE</t>
  </si>
  <si>
    <t>ACTIVIDAD 19
DIRECCIÓN PROGRAMAS POLICIALES PREVENTIVOS
PROGRAMA CONTRA LA VIOLENCIA INTRAFAMILIAR Y TRATA DE PERSONAS
CAPACITACIÓN PERSONAL INSTITUCIONAL, POLICIAL, ADMINISTRATIVO
 PERSPECTIVA DE GÉNERO Y PARIDAD</t>
  </si>
  <si>
    <t>ACTIVIDAD 20
DIRECCIÓN PROGRAMAS POLICIALES PREVENTIVOS
PROGRAMA CONTRA LA VIOLENCIA INTRAFAMILIAR
CAPACITACIÓN PERSONAL INSTITUCIONAL, POLICIAL, ADMINISTRATIVO 
MASCULINIDADES</t>
  </si>
  <si>
    <t>ACTIVIDAD 21
DIVULGACIÓN Y REFRESCAMIENTO
LÍNEAS DE ACCIÓN PLANOVI
EQUIPOS REGIONALES</t>
  </si>
  <si>
    <t>ACTIVIDAD 15
ESTRATEGIA DE COMUNICACIÓN JUSTICIA RESTAURATIVA
EJECUTAR MES DE ABRIL
50% COMERCIOS</t>
  </si>
  <si>
    <t xml:space="preserve">ACTIVIDAD 18
REPRESENTACION INSTITUCIONAL
PARTICIPACION COMITÉ LOCAL CLAIS
</t>
  </si>
  <si>
    <t>ACTIVIDAD 17
REPRESENTACION INSTITUCIONAL
PARTICIPACION SUBSISTEMA LOCAL NIÑEZ Y ADOLESCENCIA</t>
  </si>
  <si>
    <t>ACTIVIDAD 16
REPRESENTACION INSTITUCIONAL
RED PREVENCION DE LA VIOLENCIA INTRAFRAMILIAR Y CONTRA LAS MUJERES</t>
  </si>
  <si>
    <t>DELEGACIÓN POLICIAL 
HOSPITAL</t>
  </si>
  <si>
    <t>DELEGACION POLICIAL GOICOECHEA</t>
  </si>
  <si>
    <t>DELEGACIÓN POLICIAL 
GARABITO</t>
  </si>
  <si>
    <t>DELEGACIÓN POLICIAL 
PARRITA</t>
  </si>
  <si>
    <t>DELEGACIÓN POLICIAL 
QUEPOS</t>
  </si>
  <si>
    <t>DELEGACIÓN POLICIAL 
LIMON</t>
  </si>
  <si>
    <t>DELEGACIÓN POLICIAL 
GUACIMO</t>
  </si>
  <si>
    <t>DELEGACION 
POLICIAL
HATILLO</t>
  </si>
  <si>
    <t>LLAMAR A COMISION PARA INFORMACIÓN DE LA CONFORMACION</t>
  </si>
  <si>
    <t>SOLICITAR A DOÑA SHIRLEY LA CAPACITACION POR PARTE DEL PJ</t>
  </si>
  <si>
    <t>1 Justificación</t>
  </si>
  <si>
    <t>2 Justificación</t>
  </si>
  <si>
    <t>REGION 2 ALAJUELA</t>
  </si>
  <si>
    <t>D-81 OSA</t>
  </si>
  <si>
    <t>D-98 POCOCI NORTE</t>
  </si>
  <si>
    <t>D-42 ALVARADO</t>
  </si>
  <si>
    <t>ACTIVIDAD 1
CHARLA PREVENCIÓN DE LA VIOLENCIA EN RELACIONES DE PAREJA
EJE 1 PLANOVI 
(JOVENES ADOLESCENTES)
EJECUTAR MES DE MAYO
LÍNEA BASE 125 PERSONAS</t>
  </si>
  <si>
    <t>ACTIVIDAD 3
CHARLA  DE LA MASCULINIDAD POR LA IGUALDAD 
EJE 2 PLANOVI
(JOVENES Y ADOLESCENTES)
EJECUTAR MES DE MAYO
LÍNEA BASE 100 PERSONAS</t>
  </si>
  <si>
    <t>D-26 ALAJUELA sur</t>
  </si>
  <si>
    <t>ACTIVIDAD 3
CHARLA PREVENCIÓN DE LA MASCULINIDAD POR LA IGUALDAD 
EJE 2 PLANOVI
(JOVENES Y ADOLESCENTES)
EJECUTAR MES DE MAYO
LÍNEA BASE 100 PERSONAS</t>
  </si>
  <si>
    <t xml:space="preserve">D-47 LEON CORTES </t>
  </si>
  <si>
    <t>D-51 SANTO DOMINGO</t>
  </si>
  <si>
    <t>Justificacion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</si>
</sst>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6"/>
      <color theme="7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9" tint="-0.499984740745262"/>
        <bgColor theme="9" tint="-0.499984740745262"/>
      </patternFill>
    </fill>
    <fill>
      <patternFill patternType="solid">
        <fgColor theme="7" tint="-0.499984740745262"/>
        <bgColor theme="7" tint="-0.499984740745262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8" tint="-0.499984740745262"/>
        <bgColor theme="8" tint="-0.499984740745262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5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7"/>
        <bgColor theme="7"/>
      </patternFill>
    </fill>
    <fill>
      <patternFill patternType="solid">
        <fgColor theme="5" tint="-0.249977111117893"/>
        <bgColor theme="7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theme="6" tint="-0.499984740745262"/>
      </patternFill>
    </fill>
    <fill>
      <patternFill patternType="solid">
        <fgColor theme="9" tint="-0.249977111117893"/>
        <bgColor rgb="FFC00000"/>
      </patternFill>
    </fill>
    <fill>
      <patternFill patternType="solid">
        <fgColor theme="0"/>
        <bgColor theme="5" tint="-0.249977111117893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5"/>
      </patternFill>
    </fill>
    <fill>
      <patternFill patternType="solid">
        <fgColor rgb="FFC00000"/>
        <bgColor theme="7"/>
      </patternFill>
    </fill>
    <fill>
      <patternFill patternType="solid">
        <fgColor rgb="FFC00000"/>
        <bgColor theme="5" tint="-0.249977111117893"/>
      </patternFill>
    </fill>
    <fill>
      <patternFill patternType="solid">
        <fgColor rgb="FFC00000"/>
        <bgColor indexed="5"/>
      </patternFill>
    </fill>
    <fill>
      <patternFill patternType="solid">
        <fgColor rgb="FF002060"/>
        <bgColor theme="5" tint="-0.249977111117893"/>
      </patternFill>
    </fill>
    <fill>
      <patternFill patternType="solid">
        <fgColor rgb="FF002060"/>
        <bgColor indexed="5"/>
      </patternFill>
    </fill>
    <fill>
      <patternFill patternType="solid">
        <fgColor rgb="FF002060"/>
        <bgColor theme="7"/>
      </patternFill>
    </fill>
    <fill>
      <patternFill patternType="solid">
        <fgColor rgb="FFFFC000"/>
        <bgColor theme="7"/>
      </patternFill>
    </fill>
    <fill>
      <patternFill patternType="solid">
        <fgColor rgb="FFFFC000"/>
        <bgColor indexed="5"/>
      </patternFill>
    </fill>
    <fill>
      <patternFill patternType="solid">
        <fgColor rgb="FFFFFF00"/>
        <bgColor theme="7"/>
      </patternFill>
    </fill>
    <fill>
      <patternFill patternType="solid">
        <fgColor rgb="FFFFFF00"/>
        <bgColor theme="5" tint="-0.249977111117893"/>
      </patternFill>
    </fill>
    <fill>
      <patternFill patternType="solid">
        <fgColor theme="4" tint="0.79998168889431442"/>
        <bgColor theme="5" tint="-0.249977111117893"/>
      </patternFill>
    </fill>
    <fill>
      <patternFill patternType="solid">
        <fgColor theme="4" tint="0.79998168889431442"/>
        <bgColor theme="7"/>
      </patternFill>
    </fill>
    <fill>
      <patternFill patternType="solid">
        <fgColor theme="8" tint="-0.499984740745262"/>
        <bgColor theme="5" tint="-0.249977111117893"/>
      </patternFill>
    </fill>
    <fill>
      <patternFill patternType="solid">
        <fgColor theme="8" tint="-0.499984740745262"/>
        <bgColor indexed="5"/>
      </patternFill>
    </fill>
    <fill>
      <patternFill patternType="solid">
        <fgColor theme="8" tint="-0.499984740745262"/>
        <bgColor theme="7"/>
      </patternFill>
    </fill>
    <fill>
      <patternFill patternType="solid">
        <fgColor theme="3" tint="-0.499984740745262"/>
        <bgColor theme="5" tint="-0.249977111117893"/>
      </patternFill>
    </fill>
    <fill>
      <patternFill patternType="solid">
        <fgColor theme="3" tint="-0.499984740745262"/>
        <bgColor indexed="5"/>
      </patternFill>
    </fill>
    <fill>
      <patternFill patternType="solid">
        <fgColor theme="3" tint="-0.499984740745262"/>
        <bgColor theme="7"/>
      </patternFill>
    </fill>
    <fill>
      <patternFill patternType="solid">
        <fgColor rgb="FFFF0000"/>
        <bgColor rgb="FF002060"/>
      </patternFill>
    </fill>
    <fill>
      <patternFill patternType="solid">
        <fgColor theme="9" tint="-0.249977111117893"/>
        <bgColor indexed="5"/>
      </patternFill>
    </fill>
    <fill>
      <patternFill patternType="solid">
        <fgColor theme="5" tint="0.59999389629810485"/>
        <bgColor theme="5" tint="-0.249977111117893"/>
      </patternFill>
    </fill>
    <fill>
      <patternFill patternType="solid">
        <fgColor theme="5" tint="0.59999389629810485"/>
        <bgColor theme="7"/>
      </patternFill>
    </fill>
    <fill>
      <patternFill patternType="solid">
        <fgColor theme="5" tint="0.79998168889431442"/>
        <bgColor theme="7"/>
      </patternFill>
    </fill>
    <fill>
      <patternFill patternType="solid">
        <fgColor theme="5" tint="0.79998168889431442"/>
        <bgColor theme="5" tint="-0.249977111117893"/>
      </patternFill>
    </fill>
    <fill>
      <patternFill patternType="solid">
        <fgColor rgb="FFFF0000"/>
        <bgColor theme="5" tint="-0.249977111117893"/>
      </patternFill>
    </fill>
    <fill>
      <patternFill patternType="solid">
        <fgColor theme="4" tint="0.79998168889431442"/>
        <bgColor indexed="5"/>
      </patternFill>
    </fill>
    <fill>
      <patternFill patternType="solid">
        <fgColor theme="2"/>
        <bgColor theme="7"/>
      </patternFill>
    </fill>
    <fill>
      <patternFill patternType="solid">
        <fgColor theme="3" tint="0.79998168889431442"/>
        <bgColor theme="5" tint="-0.249977111117893"/>
      </patternFill>
    </fill>
    <fill>
      <patternFill patternType="solid">
        <fgColor theme="3" tint="0.79998168889431442"/>
        <bgColor theme="7"/>
      </patternFill>
    </fill>
    <fill>
      <patternFill patternType="solid">
        <fgColor theme="3" tint="0.79998168889431442"/>
        <bgColor indexed="5"/>
      </patternFill>
    </fill>
    <fill>
      <patternFill patternType="solid">
        <fgColor rgb="FFFF0000"/>
        <bgColor theme="7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7"/>
      </patternFill>
    </fill>
    <fill>
      <patternFill patternType="solid">
        <fgColor rgb="FFFF0000"/>
        <bgColor indexed="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0" fontId="1" fillId="0" borderId="0"/>
  </cellStyleXfs>
  <cellXfs count="173">
    <xf numFmtId="0" fontId="0" fillId="0" borderId="0" xfId="0"/>
    <xf numFmtId="0" fontId="0" fillId="0" borderId="0" xfId="0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7" borderId="7" xfId="0" applyFont="1" applyFill="1" applyBorder="1" applyAlignment="1">
      <alignment horizontal="center" wrapText="1"/>
    </xf>
    <xf numFmtId="0" fontId="0" fillId="10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15" borderId="1" xfId="2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 wrapText="1"/>
    </xf>
    <xf numFmtId="0" fontId="0" fillId="23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 wrapText="1"/>
    </xf>
    <xf numFmtId="0" fontId="6" fillId="23" borderId="7" xfId="0" applyFont="1" applyFill="1" applyBorder="1" applyAlignment="1">
      <alignment horizontal="center" vertical="center"/>
    </xf>
    <xf numFmtId="0" fontId="9" fillId="22" borderId="7" xfId="2" applyFont="1" applyFill="1" applyBorder="1" applyAlignment="1">
      <alignment horizontal="center" vertical="center" wrapText="1"/>
    </xf>
    <xf numFmtId="0" fontId="2" fillId="22" borderId="7" xfId="0" applyFont="1" applyFill="1" applyBorder="1" applyAlignment="1">
      <alignment horizontal="center" vertical="center" wrapText="1"/>
    </xf>
    <xf numFmtId="0" fontId="10" fillId="18" borderId="8" xfId="2" applyFont="1" applyFill="1" applyBorder="1" applyAlignment="1">
      <alignment horizontal="center" vertical="center" wrapText="1"/>
    </xf>
    <xf numFmtId="0" fontId="0" fillId="24" borderId="7" xfId="0" applyFill="1" applyBorder="1" applyAlignment="1">
      <alignment horizontal="center" vertical="center"/>
    </xf>
    <xf numFmtId="0" fontId="11" fillId="26" borderId="2" xfId="0" applyFont="1" applyFill="1" applyBorder="1" applyAlignment="1">
      <alignment horizontal="center" vertical="center" wrapText="1"/>
    </xf>
    <xf numFmtId="0" fontId="5" fillId="27" borderId="7" xfId="0" applyFont="1" applyFill="1" applyBorder="1" applyAlignment="1">
      <alignment horizontal="center" vertical="center" wrapText="1"/>
    </xf>
    <xf numFmtId="0" fontId="0" fillId="28" borderId="7" xfId="0" applyFill="1" applyBorder="1" applyAlignment="1">
      <alignment horizontal="center" vertical="center" wrapText="1"/>
    </xf>
    <xf numFmtId="0" fontId="0" fillId="29" borderId="7" xfId="0" applyFill="1" applyBorder="1" applyAlignment="1">
      <alignment horizontal="center" vertical="center"/>
    </xf>
    <xf numFmtId="0" fontId="0" fillId="30" borderId="7" xfId="0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0" fillId="18" borderId="7" xfId="0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5" fillId="31" borderId="7" xfId="0" applyFont="1" applyFill="1" applyBorder="1" applyAlignment="1">
      <alignment horizontal="center" vertical="center" wrapText="1"/>
    </xf>
    <xf numFmtId="0" fontId="5" fillId="33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 wrapText="1"/>
    </xf>
    <xf numFmtId="0" fontId="0" fillId="23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 wrapText="1"/>
    </xf>
    <xf numFmtId="0" fontId="0" fillId="24" borderId="7" xfId="0" applyFill="1" applyBorder="1" applyAlignment="1">
      <alignment horizontal="center" vertical="center"/>
    </xf>
    <xf numFmtId="0" fontId="11" fillId="26" borderId="2" xfId="0" applyFont="1" applyFill="1" applyBorder="1" applyAlignment="1">
      <alignment horizontal="center" vertical="center" wrapText="1"/>
    </xf>
    <xf numFmtId="0" fontId="5" fillId="32" borderId="7" xfId="0" applyFont="1" applyFill="1" applyBorder="1" applyAlignment="1">
      <alignment horizontal="center" vertical="center" wrapText="1"/>
    </xf>
    <xf numFmtId="0" fontId="5" fillId="34" borderId="7" xfId="0" applyFont="1" applyFill="1" applyBorder="1" applyAlignment="1">
      <alignment horizontal="center" vertical="center" wrapText="1"/>
    </xf>
    <xf numFmtId="0" fontId="11" fillId="2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2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6" fillId="23" borderId="7" xfId="0" applyFont="1" applyFill="1" applyBorder="1" applyAlignment="1">
      <alignment horizontal="center" vertical="center" wrapText="1"/>
    </xf>
    <xf numFmtId="0" fontId="11" fillId="25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1" fillId="26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5" fillId="35" borderId="7" xfId="0" applyFont="1" applyFill="1" applyBorder="1" applyAlignment="1">
      <alignment horizontal="center" vertical="center" wrapText="1"/>
    </xf>
    <xf numFmtId="0" fontId="5" fillId="36" borderId="7" xfId="0" applyFont="1" applyFill="1" applyBorder="1" applyAlignment="1">
      <alignment horizontal="center" vertical="center" wrapText="1"/>
    </xf>
    <xf numFmtId="0" fontId="5" fillId="37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22" borderId="7" xfId="3" applyFont="1" applyFill="1" applyBorder="1" applyAlignment="1">
      <alignment horizontal="center" vertical="center" wrapText="1"/>
    </xf>
    <xf numFmtId="0" fontId="10" fillId="18" borderId="8" xfId="3" applyFont="1" applyFill="1" applyBorder="1" applyAlignment="1">
      <alignment horizontal="center" vertical="center" wrapText="1"/>
    </xf>
    <xf numFmtId="0" fontId="5" fillId="38" borderId="7" xfId="0" applyFont="1" applyFill="1" applyBorder="1" applyAlignment="1">
      <alignment horizontal="center" vertical="center" wrapText="1"/>
    </xf>
    <xf numFmtId="0" fontId="12" fillId="38" borderId="7" xfId="0" applyFont="1" applyFill="1" applyBorder="1" applyAlignment="1">
      <alignment horizontal="center" vertical="center" wrapText="1"/>
    </xf>
    <xf numFmtId="0" fontId="5" fillId="39" borderId="7" xfId="0" applyFont="1" applyFill="1" applyBorder="1" applyAlignment="1">
      <alignment horizontal="center" vertical="center" wrapText="1"/>
    </xf>
    <xf numFmtId="0" fontId="5" fillId="40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5" fillId="41" borderId="7" xfId="0" applyFont="1" applyFill="1" applyBorder="1" applyAlignment="1">
      <alignment horizontal="center" vertical="center" wrapText="1"/>
    </xf>
    <xf numFmtId="0" fontId="5" fillId="27" borderId="4" xfId="0" applyFont="1" applyFill="1" applyBorder="1" applyAlignment="1">
      <alignment horizontal="center" vertical="center" wrapText="1"/>
    </xf>
    <xf numFmtId="0" fontId="0" fillId="28" borderId="0" xfId="0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5" fillId="42" borderId="7" xfId="0" applyFont="1" applyFill="1" applyBorder="1" applyAlignment="1">
      <alignment horizontal="center" vertical="center" wrapText="1"/>
    </xf>
    <xf numFmtId="0" fontId="5" fillId="43" borderId="7" xfId="0" applyFont="1" applyFill="1" applyBorder="1" applyAlignment="1">
      <alignment horizontal="center" vertical="center" wrapText="1"/>
    </xf>
    <xf numFmtId="0" fontId="13" fillId="42" borderId="7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5" fillId="44" borderId="7" xfId="0" applyFont="1" applyFill="1" applyBorder="1" applyAlignment="1">
      <alignment horizontal="center" vertical="center" wrapText="1"/>
    </xf>
    <xf numFmtId="0" fontId="5" fillId="45" borderId="7" xfId="0" applyFont="1" applyFill="1" applyBorder="1" applyAlignment="1">
      <alignment horizontal="center" vertical="center" wrapText="1"/>
    </xf>
    <xf numFmtId="0" fontId="5" fillId="46" borderId="7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10" borderId="7" xfId="0" applyFill="1" applyBorder="1" applyAlignment="1">
      <alignment horizontal="center" vertical="center" wrapText="1"/>
    </xf>
    <xf numFmtId="0" fontId="5" fillId="47" borderId="7" xfId="0" applyFont="1" applyFill="1" applyBorder="1" applyAlignment="1">
      <alignment horizontal="center" vertical="center" wrapText="1"/>
    </xf>
    <xf numFmtId="0" fontId="5" fillId="48" borderId="7" xfId="0" applyFont="1" applyFill="1" applyBorder="1" applyAlignment="1">
      <alignment horizontal="center" vertical="center" wrapText="1"/>
    </xf>
    <xf numFmtId="0" fontId="5" fillId="49" borderId="7" xfId="0" applyFont="1" applyFill="1" applyBorder="1" applyAlignment="1">
      <alignment horizontal="center" vertical="center" wrapText="1"/>
    </xf>
    <xf numFmtId="0" fontId="2" fillId="50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15" fillId="23" borderId="7" xfId="0" applyFont="1" applyFill="1" applyBorder="1" applyAlignment="1">
      <alignment horizontal="center" vertical="center"/>
    </xf>
    <xf numFmtId="0" fontId="16" fillId="2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24" borderId="7" xfId="0" applyFont="1" applyFill="1" applyBorder="1" applyAlignment="1">
      <alignment horizontal="center" vertical="center"/>
    </xf>
    <xf numFmtId="0" fontId="5" fillId="52" borderId="7" xfId="0" applyFont="1" applyFill="1" applyBorder="1" applyAlignment="1">
      <alignment horizontal="center" vertical="center" wrapText="1"/>
    </xf>
    <xf numFmtId="0" fontId="5" fillId="53" borderId="7" xfId="0" applyFont="1" applyFill="1" applyBorder="1" applyAlignment="1">
      <alignment horizontal="center" vertical="center" wrapText="1"/>
    </xf>
    <xf numFmtId="0" fontId="5" fillId="54" borderId="7" xfId="0" applyFont="1" applyFill="1" applyBorder="1" applyAlignment="1">
      <alignment horizontal="center" vertical="center" wrapText="1"/>
    </xf>
    <xf numFmtId="0" fontId="5" fillId="55" borderId="7" xfId="0" applyFont="1" applyFill="1" applyBorder="1" applyAlignment="1">
      <alignment horizontal="center" vertical="center" wrapText="1"/>
    </xf>
    <xf numFmtId="0" fontId="12" fillId="56" borderId="7" xfId="0" applyFont="1" applyFill="1" applyBorder="1" applyAlignment="1">
      <alignment horizontal="center" vertical="center" wrapText="1"/>
    </xf>
    <xf numFmtId="9" fontId="5" fillId="27" borderId="7" xfId="0" applyNumberFormat="1" applyFont="1" applyFill="1" applyBorder="1" applyAlignment="1">
      <alignment horizontal="center" vertical="center" wrapText="1"/>
    </xf>
    <xf numFmtId="9" fontId="4" fillId="0" borderId="7" xfId="0" applyNumberFormat="1" applyFont="1" applyBorder="1" applyAlignment="1">
      <alignment horizontal="center" wrapText="1"/>
    </xf>
    <xf numFmtId="9" fontId="5" fillId="57" borderId="7" xfId="0" applyNumberFormat="1" applyFont="1" applyFill="1" applyBorder="1" applyAlignment="1">
      <alignment horizontal="center" vertical="center" wrapText="1"/>
    </xf>
    <xf numFmtId="9" fontId="5" fillId="43" borderId="7" xfId="0" applyNumberFormat="1" applyFont="1" applyFill="1" applyBorder="1" applyAlignment="1">
      <alignment horizontal="center" vertical="center" wrapText="1"/>
    </xf>
    <xf numFmtId="0" fontId="5" fillId="57" borderId="7" xfId="0" applyFont="1" applyFill="1" applyBorder="1" applyAlignment="1">
      <alignment horizontal="center" vertical="center" wrapText="1"/>
    </xf>
    <xf numFmtId="0" fontId="5" fillId="58" borderId="7" xfId="0" applyFont="1" applyFill="1" applyBorder="1" applyAlignment="1">
      <alignment horizontal="center" vertical="center" wrapText="1"/>
    </xf>
    <xf numFmtId="0" fontId="5" fillId="59" borderId="7" xfId="0" applyFont="1" applyFill="1" applyBorder="1" applyAlignment="1">
      <alignment horizontal="center" vertical="center" wrapText="1"/>
    </xf>
    <xf numFmtId="0" fontId="5" fillId="60" borderId="7" xfId="0" applyFont="1" applyFill="1" applyBorder="1" applyAlignment="1">
      <alignment horizontal="center" vertical="center" wrapText="1"/>
    </xf>
    <xf numFmtId="9" fontId="5" fillId="61" borderId="7" xfId="0" applyNumberFormat="1" applyFont="1" applyFill="1" applyBorder="1" applyAlignment="1">
      <alignment horizontal="center" vertical="center" wrapText="1"/>
    </xf>
    <xf numFmtId="9" fontId="5" fillId="60" borderId="7" xfId="0" applyNumberFormat="1" applyFont="1" applyFill="1" applyBorder="1" applyAlignment="1">
      <alignment horizontal="center" vertical="center" wrapText="1"/>
    </xf>
    <xf numFmtId="0" fontId="5" fillId="61" borderId="7" xfId="0" applyFont="1" applyFill="1" applyBorder="1" applyAlignment="1">
      <alignment horizontal="center" vertical="center" wrapText="1"/>
    </xf>
    <xf numFmtId="0" fontId="12" fillId="35" borderId="2" xfId="0" applyFont="1" applyFill="1" applyBorder="1" applyAlignment="1">
      <alignment vertical="center" wrapText="1"/>
    </xf>
    <xf numFmtId="0" fontId="12" fillId="35" borderId="3" xfId="0" applyFont="1" applyFill="1" applyBorder="1" applyAlignment="1">
      <alignment vertical="center" wrapText="1"/>
    </xf>
    <xf numFmtId="0" fontId="12" fillId="35" borderId="4" xfId="0" applyFont="1" applyFill="1" applyBorder="1" applyAlignment="1">
      <alignment vertical="center" wrapText="1"/>
    </xf>
    <xf numFmtId="9" fontId="5" fillId="63" borderId="7" xfId="0" applyNumberFormat="1" applyFont="1" applyFill="1" applyBorder="1" applyAlignment="1">
      <alignment horizontal="center" vertical="center" wrapText="1"/>
    </xf>
    <xf numFmtId="9" fontId="5" fillId="64" borderId="7" xfId="0" applyNumberFormat="1" applyFont="1" applyFill="1" applyBorder="1" applyAlignment="1">
      <alignment horizontal="center" vertical="center" wrapText="1"/>
    </xf>
    <xf numFmtId="0" fontId="19" fillId="42" borderId="7" xfId="0" applyFont="1" applyFill="1" applyBorder="1" applyAlignment="1">
      <alignment horizontal="center" vertical="center" wrapText="1"/>
    </xf>
    <xf numFmtId="0" fontId="12" fillId="62" borderId="7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12" fillId="35" borderId="2" xfId="0" applyFont="1" applyFill="1" applyBorder="1" applyAlignment="1">
      <alignment horizontal="center" vertical="center" wrapText="1"/>
    </xf>
    <xf numFmtId="0" fontId="12" fillId="35" borderId="3" xfId="0" applyFont="1" applyFill="1" applyBorder="1" applyAlignment="1">
      <alignment horizontal="center" vertical="center" wrapText="1"/>
    </xf>
    <xf numFmtId="0" fontId="12" fillId="35" borderId="4" xfId="0" applyFont="1" applyFill="1" applyBorder="1" applyAlignment="1">
      <alignment horizontal="center" vertical="center" wrapText="1"/>
    </xf>
    <xf numFmtId="0" fontId="18" fillId="51" borderId="2" xfId="0" applyFont="1" applyFill="1" applyBorder="1" applyAlignment="1">
      <alignment horizontal="center" vertical="center" wrapText="1"/>
    </xf>
    <xf numFmtId="0" fontId="18" fillId="51" borderId="3" xfId="0" applyFont="1" applyFill="1" applyBorder="1" applyAlignment="1">
      <alignment horizontal="center" vertical="center" wrapText="1"/>
    </xf>
    <xf numFmtId="0" fontId="18" fillId="51" borderId="4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8" borderId="5" xfId="0" applyFill="1" applyBorder="1" applyAlignment="1">
      <alignment horizontal="left" vertical="center" wrapText="1"/>
    </xf>
    <xf numFmtId="0" fontId="5" fillId="64" borderId="7" xfId="0" applyFont="1" applyFill="1" applyBorder="1" applyAlignment="1">
      <alignment horizontal="center" vertical="center" wrapText="1"/>
    </xf>
    <xf numFmtId="0" fontId="5" fillId="62" borderId="7" xfId="0" applyFont="1" applyFill="1" applyBorder="1" applyAlignment="1">
      <alignment horizontal="center" vertical="center" wrapText="1"/>
    </xf>
    <xf numFmtId="0" fontId="5" fillId="65" borderId="7" xfId="0" applyFont="1" applyFill="1" applyBorder="1" applyAlignment="1">
      <alignment horizontal="center" vertical="center" wrapText="1"/>
    </xf>
    <xf numFmtId="9" fontId="5" fillId="42" borderId="7" xfId="0" applyNumberFormat="1" applyFont="1" applyFill="1" applyBorder="1" applyAlignment="1">
      <alignment horizontal="center" vertical="center" wrapText="1"/>
    </xf>
    <xf numFmtId="0" fontId="13" fillId="56" borderId="3" xfId="0" applyFont="1" applyFill="1" applyBorder="1" applyAlignment="1">
      <alignment horizontal="center" vertical="center" wrapText="1"/>
    </xf>
    <xf numFmtId="0" fontId="5" fillId="56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V14"/>
  <sheetViews>
    <sheetView tabSelected="1" zoomScale="84" zoomScaleNormal="84" workbookViewId="0">
      <selection activeCell="F20" sqref="F20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99</v>
      </c>
      <c r="D1" s="154"/>
      <c r="E1" s="154"/>
      <c r="F1" s="155"/>
      <c r="G1" s="139" t="s">
        <v>101</v>
      </c>
      <c r="H1" s="140"/>
      <c r="I1" s="140"/>
      <c r="J1" s="141"/>
      <c r="K1" s="136" t="s">
        <v>100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33" t="s">
        <v>110</v>
      </c>
      <c r="B3" s="4" t="s">
        <v>6</v>
      </c>
      <c r="C3" s="42"/>
      <c r="D3" s="55"/>
      <c r="E3" s="42"/>
      <c r="F3" s="55"/>
      <c r="G3" s="42"/>
      <c r="H3" s="56"/>
      <c r="I3" s="56"/>
      <c r="J3" s="56"/>
      <c r="K3" s="42"/>
      <c r="L3" s="55"/>
      <c r="M3" s="42"/>
      <c r="N3" s="55"/>
      <c r="O3" s="42"/>
      <c r="P3" s="56"/>
      <c r="Q3" s="56"/>
      <c r="R3" s="56"/>
      <c r="S3" s="42"/>
      <c r="T3" s="55"/>
      <c r="U3" s="55"/>
      <c r="V3" s="55"/>
      <c r="W3" s="42"/>
      <c r="X3" s="56"/>
      <c r="Y3" s="42"/>
      <c r="Z3" s="56"/>
      <c r="AA3" s="42"/>
      <c r="AB3" s="55"/>
      <c r="AC3" s="55"/>
      <c r="AD3" s="55"/>
      <c r="AE3" s="56"/>
      <c r="AF3" s="56"/>
      <c r="AG3" s="56"/>
      <c r="AH3" s="56"/>
      <c r="AI3" s="42"/>
      <c r="AJ3" s="55"/>
      <c r="AK3" s="55"/>
      <c r="AL3" s="55"/>
      <c r="AM3" s="42"/>
      <c r="AN3" s="56"/>
      <c r="AO3" s="56"/>
      <c r="AP3" s="56"/>
      <c r="AQ3" s="42"/>
      <c r="AR3" s="55"/>
      <c r="AS3" s="55"/>
      <c r="AT3" s="55"/>
      <c r="AU3" s="42"/>
      <c r="AV3" s="56"/>
      <c r="AW3" s="56"/>
      <c r="AX3" s="56"/>
      <c r="AY3" s="42"/>
      <c r="AZ3" s="55"/>
      <c r="BA3" s="55"/>
      <c r="BB3" s="55"/>
      <c r="BC3" s="42"/>
      <c r="BD3" s="56"/>
      <c r="BE3" s="56"/>
      <c r="BF3" s="56"/>
      <c r="BG3" s="42"/>
      <c r="BH3" s="56"/>
      <c r="BI3" s="56"/>
      <c r="BJ3" s="56"/>
      <c r="BK3" s="42"/>
      <c r="BL3" s="56"/>
      <c r="BM3" s="55"/>
      <c r="BN3" s="56"/>
      <c r="BO3" s="42"/>
      <c r="BP3" s="55"/>
      <c r="BQ3" s="55"/>
      <c r="BR3" s="55"/>
      <c r="BS3" s="42"/>
      <c r="BT3" s="56"/>
      <c r="BU3" s="55"/>
      <c r="BV3" s="56"/>
    </row>
    <row r="4" spans="1:74" s="1" customFormat="1" ht="18.75" x14ac:dyDescent="0.25">
      <c r="A4" s="134"/>
      <c r="B4" s="4" t="s">
        <v>73</v>
      </c>
      <c r="C4" s="34"/>
      <c r="D4" s="87">
        <v>140</v>
      </c>
      <c r="E4" s="34"/>
      <c r="F4" s="35"/>
      <c r="G4" s="34"/>
      <c r="H4" s="37"/>
      <c r="I4" s="45"/>
      <c r="J4" s="37"/>
      <c r="K4" s="34"/>
      <c r="L4" s="87">
        <v>140</v>
      </c>
      <c r="M4" s="34"/>
      <c r="N4" s="35"/>
      <c r="O4" s="34"/>
      <c r="P4" s="37"/>
      <c r="Q4" s="45"/>
      <c r="R4" s="37"/>
      <c r="S4" s="34"/>
      <c r="T4" s="87">
        <v>60</v>
      </c>
      <c r="U4" s="36"/>
      <c r="V4" s="35"/>
      <c r="W4" s="34"/>
      <c r="X4" s="46"/>
      <c r="Y4" s="43"/>
      <c r="Z4" s="37"/>
      <c r="AA4" s="34"/>
      <c r="AB4" s="35"/>
      <c r="AC4" s="36"/>
      <c r="AD4" s="44"/>
      <c r="AE4" s="87">
        <v>120</v>
      </c>
      <c r="AF4" s="37"/>
      <c r="AG4" s="38"/>
      <c r="AH4" s="37"/>
      <c r="AI4" s="34"/>
      <c r="AJ4" s="168"/>
      <c r="AK4" s="36"/>
      <c r="AL4" s="35"/>
      <c r="AM4" s="34"/>
      <c r="AN4" s="37"/>
      <c r="AO4" s="43"/>
      <c r="AP4" s="37"/>
      <c r="AQ4" s="34"/>
      <c r="AR4" s="35"/>
      <c r="AS4" s="36"/>
      <c r="AT4" s="77"/>
      <c r="AU4" s="34"/>
      <c r="AV4" s="37"/>
      <c r="AW4" s="47"/>
      <c r="AX4" s="37"/>
      <c r="AY4" s="34"/>
      <c r="AZ4" s="35"/>
      <c r="BA4" s="36"/>
      <c r="BB4" s="77"/>
      <c r="BC4" s="43"/>
      <c r="BD4" s="114">
        <v>1</v>
      </c>
      <c r="BE4" s="47"/>
      <c r="BF4" s="46"/>
      <c r="BG4" s="43"/>
      <c r="BH4" s="115">
        <v>1</v>
      </c>
      <c r="BI4" s="47"/>
      <c r="BJ4" s="77"/>
      <c r="BK4" s="43"/>
      <c r="BL4" s="117">
        <v>3</v>
      </c>
      <c r="BM4" s="45"/>
      <c r="BN4" s="80"/>
      <c r="BO4" s="43"/>
      <c r="BP4" s="87">
        <v>1</v>
      </c>
      <c r="BQ4" s="43"/>
      <c r="BR4" s="77"/>
      <c r="BS4" s="86">
        <v>2</v>
      </c>
      <c r="BT4" s="116">
        <v>2</v>
      </c>
      <c r="BU4" s="45"/>
      <c r="BV4" s="80"/>
    </row>
    <row r="5" spans="1:74" s="1" customFormat="1" ht="18.75" x14ac:dyDescent="0.25">
      <c r="A5" s="134"/>
      <c r="B5" s="4" t="s">
        <v>65</v>
      </c>
      <c r="C5" s="34"/>
      <c r="D5" s="87">
        <v>125</v>
      </c>
      <c r="E5" s="34"/>
      <c r="F5" s="35"/>
      <c r="G5" s="34"/>
      <c r="H5" s="37"/>
      <c r="I5" s="45"/>
      <c r="J5" s="37"/>
      <c r="K5" s="34"/>
      <c r="L5" s="87">
        <v>100</v>
      </c>
      <c r="M5" s="34"/>
      <c r="N5" s="35"/>
      <c r="O5" s="34"/>
      <c r="P5" s="37"/>
      <c r="Q5" s="45"/>
      <c r="R5" s="37"/>
      <c r="S5" s="34"/>
      <c r="T5" s="87">
        <v>60</v>
      </c>
      <c r="U5" s="36"/>
      <c r="V5" s="35"/>
      <c r="W5" s="34"/>
      <c r="X5" s="46"/>
      <c r="Y5" s="43"/>
      <c r="Z5" s="37"/>
      <c r="AA5" s="34"/>
      <c r="AB5" s="35"/>
      <c r="AC5" s="36"/>
      <c r="AD5" s="44"/>
      <c r="AE5" s="87">
        <v>100</v>
      </c>
      <c r="AF5" s="37"/>
      <c r="AG5" s="38"/>
      <c r="AH5" s="37"/>
      <c r="AI5" s="34"/>
      <c r="AJ5" s="168"/>
      <c r="AK5" s="36"/>
      <c r="AL5" s="35"/>
      <c r="AM5" s="34"/>
      <c r="AN5" s="37"/>
      <c r="AO5" s="43"/>
      <c r="AP5" s="37"/>
      <c r="AQ5" s="34"/>
      <c r="AR5" s="35"/>
      <c r="AS5" s="36"/>
      <c r="AT5" s="77"/>
      <c r="AU5" s="34"/>
      <c r="AV5" s="37"/>
      <c r="AW5" s="47"/>
      <c r="AX5" s="37"/>
      <c r="AY5" s="34"/>
      <c r="AZ5" s="35"/>
      <c r="BA5" s="36"/>
      <c r="BB5" s="77"/>
      <c r="BC5" s="43"/>
      <c r="BD5" s="114">
        <v>1</v>
      </c>
      <c r="BE5" s="47"/>
      <c r="BF5" s="46"/>
      <c r="BG5" s="43"/>
      <c r="BH5" s="115">
        <v>1</v>
      </c>
      <c r="BI5" s="47"/>
      <c r="BJ5" s="77"/>
      <c r="BK5" s="43"/>
      <c r="BL5" s="119">
        <v>2</v>
      </c>
      <c r="BM5" s="45"/>
      <c r="BN5" s="80"/>
      <c r="BO5" s="107">
        <v>1</v>
      </c>
      <c r="BP5" s="119">
        <v>1</v>
      </c>
      <c r="BQ5" s="45"/>
      <c r="BR5" s="77"/>
      <c r="BS5" s="86">
        <v>2</v>
      </c>
      <c r="BT5" s="41"/>
      <c r="BU5" s="45"/>
      <c r="BV5" s="41"/>
    </row>
    <row r="6" spans="1:74" s="1" customFormat="1" ht="18.75" x14ac:dyDescent="0.25">
      <c r="A6" s="134"/>
      <c r="B6" s="4" t="s">
        <v>66</v>
      </c>
      <c r="C6" s="34"/>
      <c r="D6" s="86">
        <v>143</v>
      </c>
      <c r="E6" s="34"/>
      <c r="F6" s="35"/>
      <c r="G6" s="34"/>
      <c r="H6" s="37"/>
      <c r="I6" s="45"/>
      <c r="J6" s="37"/>
      <c r="K6" s="34"/>
      <c r="L6" s="87">
        <v>129</v>
      </c>
      <c r="M6" s="34"/>
      <c r="N6" s="35"/>
      <c r="O6" s="34"/>
      <c r="P6" s="37"/>
      <c r="Q6" s="45"/>
      <c r="R6" s="37"/>
      <c r="S6" s="34"/>
      <c r="T6" s="87">
        <v>50</v>
      </c>
      <c r="U6" s="36"/>
      <c r="V6" s="35"/>
      <c r="W6" s="34"/>
      <c r="X6" s="46"/>
      <c r="Y6" s="43"/>
      <c r="Z6" s="37"/>
      <c r="AA6" s="34"/>
      <c r="AB6" s="35"/>
      <c r="AC6" s="36"/>
      <c r="AD6" s="44"/>
      <c r="AE6" s="87">
        <v>119</v>
      </c>
      <c r="AF6" s="37"/>
      <c r="AG6" s="38"/>
      <c r="AH6" s="37"/>
      <c r="AI6" s="34"/>
      <c r="AJ6" s="167">
        <v>123</v>
      </c>
      <c r="AK6" s="36"/>
      <c r="AL6" s="35"/>
      <c r="AM6" s="34"/>
      <c r="AN6" s="37"/>
      <c r="AO6" s="43"/>
      <c r="AP6" s="37"/>
      <c r="AQ6" s="34"/>
      <c r="AR6" s="35"/>
      <c r="AS6" s="36"/>
      <c r="AT6" s="79"/>
      <c r="AU6" s="34"/>
      <c r="AV6" s="37"/>
      <c r="AW6" s="47"/>
      <c r="AX6" s="37"/>
      <c r="AY6" s="34"/>
      <c r="AZ6" s="35"/>
      <c r="BA6" s="36"/>
      <c r="BB6" s="77"/>
      <c r="BC6" s="43"/>
      <c r="BD6" s="114">
        <v>1</v>
      </c>
      <c r="BE6" s="47"/>
      <c r="BF6" s="46"/>
      <c r="BG6" s="43"/>
      <c r="BH6" s="115">
        <v>1</v>
      </c>
      <c r="BI6" s="47"/>
      <c r="BJ6" s="77"/>
      <c r="BK6" s="86">
        <v>3</v>
      </c>
      <c r="BL6" s="119">
        <v>3</v>
      </c>
      <c r="BM6" s="43"/>
      <c r="BN6" s="80"/>
      <c r="BO6" s="86">
        <v>1</v>
      </c>
      <c r="BP6" s="119">
        <v>2</v>
      </c>
      <c r="BQ6" s="45"/>
      <c r="BR6" s="77"/>
      <c r="BS6" s="86">
        <v>1</v>
      </c>
      <c r="BT6" s="86">
        <v>3</v>
      </c>
      <c r="BU6" s="43"/>
      <c r="BV6" s="41"/>
    </row>
    <row r="7" spans="1:74" s="1" customFormat="1" ht="18.75" x14ac:dyDescent="0.25">
      <c r="A7" s="134"/>
      <c r="B7" s="4" t="s">
        <v>74</v>
      </c>
      <c r="C7" s="34"/>
      <c r="D7" s="87">
        <v>125</v>
      </c>
      <c r="E7" s="34"/>
      <c r="F7" s="35"/>
      <c r="G7" s="34"/>
      <c r="H7" s="37"/>
      <c r="I7" s="45"/>
      <c r="J7" s="37"/>
      <c r="K7" s="34"/>
      <c r="L7" s="87">
        <v>135</v>
      </c>
      <c r="M7" s="34"/>
      <c r="N7" s="35"/>
      <c r="O7" s="34"/>
      <c r="P7" s="37"/>
      <c r="Q7" s="45"/>
      <c r="R7" s="37"/>
      <c r="S7" s="34"/>
      <c r="T7" s="87">
        <v>80</v>
      </c>
      <c r="U7" s="36"/>
      <c r="V7" s="35"/>
      <c r="W7" s="34"/>
      <c r="X7" s="46"/>
      <c r="Y7" s="43"/>
      <c r="Z7" s="37"/>
      <c r="AA7" s="34"/>
      <c r="AB7" s="35">
        <v>1</v>
      </c>
      <c r="AC7" s="36"/>
      <c r="AD7" s="44"/>
      <c r="AE7" s="87">
        <v>400</v>
      </c>
      <c r="AF7" s="37"/>
      <c r="AG7" s="38"/>
      <c r="AH7" s="37"/>
      <c r="AI7" s="34"/>
      <c r="AJ7" s="167">
        <v>100</v>
      </c>
      <c r="AK7" s="36"/>
      <c r="AL7" s="35"/>
      <c r="AM7" s="34"/>
      <c r="AN7" s="37"/>
      <c r="AO7" s="43"/>
      <c r="AP7" s="37"/>
      <c r="AQ7" s="34"/>
      <c r="AR7" s="35"/>
      <c r="AS7" s="36"/>
      <c r="AT7" s="77"/>
      <c r="AU7" s="34"/>
      <c r="AV7" s="37"/>
      <c r="AW7" s="47"/>
      <c r="AX7" s="37"/>
      <c r="AY7" s="34"/>
      <c r="AZ7" s="35"/>
      <c r="BA7" s="36"/>
      <c r="BB7" s="77"/>
      <c r="BC7" s="43"/>
      <c r="BD7" s="114">
        <v>1</v>
      </c>
      <c r="BE7" s="47"/>
      <c r="BF7" s="46"/>
      <c r="BG7" s="43"/>
      <c r="BH7" s="115">
        <v>1</v>
      </c>
      <c r="BI7" s="47"/>
      <c r="BJ7" s="77"/>
      <c r="BK7" s="43"/>
      <c r="BL7" s="119">
        <v>2</v>
      </c>
      <c r="BM7" s="45"/>
      <c r="BN7" s="80"/>
      <c r="BO7" s="86">
        <v>1</v>
      </c>
      <c r="BP7" s="87">
        <v>1</v>
      </c>
      <c r="BQ7" s="45"/>
      <c r="BR7" s="77"/>
      <c r="BS7" s="86">
        <v>2</v>
      </c>
      <c r="BT7" s="87">
        <v>1</v>
      </c>
      <c r="BU7" s="45"/>
      <c r="BV7" s="41"/>
    </row>
    <row r="8" spans="1:74" s="1" customFormat="1" ht="18.75" x14ac:dyDescent="0.25">
      <c r="A8" s="134"/>
      <c r="B8" s="4" t="s">
        <v>67</v>
      </c>
      <c r="C8" s="34"/>
      <c r="D8" s="87">
        <v>125</v>
      </c>
      <c r="E8" s="34"/>
      <c r="F8" s="35"/>
      <c r="G8" s="34"/>
      <c r="H8" s="37"/>
      <c r="I8" s="45"/>
      <c r="J8" s="37"/>
      <c r="K8" s="34"/>
      <c r="L8" s="129">
        <v>0</v>
      </c>
      <c r="M8" s="34"/>
      <c r="N8" s="35"/>
      <c r="O8" s="34"/>
      <c r="P8" s="37"/>
      <c r="Q8" s="45"/>
      <c r="R8" s="37"/>
      <c r="S8" s="34"/>
      <c r="T8" s="87">
        <v>50</v>
      </c>
      <c r="U8" s="36"/>
      <c r="V8" s="35"/>
      <c r="W8" s="34"/>
      <c r="X8" s="46"/>
      <c r="Y8" s="43"/>
      <c r="Z8" s="37"/>
      <c r="AA8" s="34"/>
      <c r="AB8" s="35">
        <v>1</v>
      </c>
      <c r="AC8" s="36"/>
      <c r="AD8" s="44"/>
      <c r="AE8" s="87">
        <v>100</v>
      </c>
      <c r="AF8" s="37"/>
      <c r="AG8" s="38"/>
      <c r="AH8" s="37"/>
      <c r="AI8" s="34"/>
      <c r="AJ8" s="168"/>
      <c r="AK8" s="36"/>
      <c r="AL8" s="35"/>
      <c r="AM8" s="34"/>
      <c r="AN8" s="37"/>
      <c r="AO8" s="43"/>
      <c r="AP8" s="37"/>
      <c r="AQ8" s="34"/>
      <c r="AR8" s="35"/>
      <c r="AS8" s="36"/>
      <c r="AT8" s="79"/>
      <c r="AU8" s="34"/>
      <c r="AV8" s="37"/>
      <c r="AW8" s="47"/>
      <c r="AX8" s="37"/>
      <c r="AY8" s="34"/>
      <c r="AZ8" s="35"/>
      <c r="BA8" s="36"/>
      <c r="BB8" s="77"/>
      <c r="BC8" s="43"/>
      <c r="BD8" s="114">
        <v>1</v>
      </c>
      <c r="BE8" s="47"/>
      <c r="BF8" s="46"/>
      <c r="BG8" s="43"/>
      <c r="BH8" s="115">
        <v>1</v>
      </c>
      <c r="BI8" s="47"/>
      <c r="BJ8" s="77"/>
      <c r="BK8" s="86">
        <v>2</v>
      </c>
      <c r="BL8" s="119">
        <v>2</v>
      </c>
      <c r="BM8" s="45"/>
      <c r="BN8" s="80"/>
      <c r="BO8" s="86">
        <v>2</v>
      </c>
      <c r="BP8" s="87">
        <v>1</v>
      </c>
      <c r="BQ8" s="45"/>
      <c r="BR8" s="77"/>
      <c r="BS8" s="43"/>
      <c r="BT8" s="87">
        <v>1</v>
      </c>
      <c r="BU8" s="45"/>
      <c r="BV8" s="41"/>
    </row>
    <row r="9" spans="1:74" s="1" customFormat="1" ht="18.75" x14ac:dyDescent="0.25">
      <c r="A9" s="134"/>
      <c r="B9" s="4" t="s">
        <v>68</v>
      </c>
      <c r="C9" s="34"/>
      <c r="D9" s="87">
        <v>357</v>
      </c>
      <c r="E9" s="34"/>
      <c r="F9" s="35"/>
      <c r="G9" s="34"/>
      <c r="H9" s="37"/>
      <c r="I9" s="45"/>
      <c r="J9" s="37"/>
      <c r="K9" s="34"/>
      <c r="L9" s="87">
        <v>357</v>
      </c>
      <c r="M9" s="34"/>
      <c r="N9" s="35"/>
      <c r="O9" s="34"/>
      <c r="P9" s="37"/>
      <c r="Q9" s="45"/>
      <c r="R9" s="37"/>
      <c r="S9" s="34"/>
      <c r="T9" s="87">
        <v>357</v>
      </c>
      <c r="U9" s="36"/>
      <c r="V9" s="35"/>
      <c r="W9" s="34"/>
      <c r="X9" s="46"/>
      <c r="Y9" s="43"/>
      <c r="Z9" s="37"/>
      <c r="AA9" s="34"/>
      <c r="AB9" s="35">
        <v>1</v>
      </c>
      <c r="AC9" s="36"/>
      <c r="AD9" s="44"/>
      <c r="AE9" s="87">
        <v>176</v>
      </c>
      <c r="AF9" s="37"/>
      <c r="AG9" s="38"/>
      <c r="AH9" s="37"/>
      <c r="AI9" s="34"/>
      <c r="AJ9" s="167">
        <v>171</v>
      </c>
      <c r="AK9" s="36"/>
      <c r="AL9" s="35"/>
      <c r="AM9" s="34"/>
      <c r="AN9" s="37"/>
      <c r="AO9" s="43"/>
      <c r="AP9" s="37"/>
      <c r="AQ9" s="34"/>
      <c r="AR9" s="35"/>
      <c r="AS9" s="36"/>
      <c r="AT9" s="77"/>
      <c r="AU9" s="34"/>
      <c r="AV9" s="37"/>
      <c r="AW9" s="47"/>
      <c r="AX9" s="37"/>
      <c r="AY9" s="34"/>
      <c r="AZ9" s="35"/>
      <c r="BA9" s="36"/>
      <c r="BB9" s="77"/>
      <c r="BC9" s="43"/>
      <c r="BD9" s="114">
        <v>1</v>
      </c>
      <c r="BE9" s="47"/>
      <c r="BF9" s="46"/>
      <c r="BG9" s="43"/>
      <c r="BH9" s="115">
        <v>1</v>
      </c>
      <c r="BI9" s="45"/>
      <c r="BJ9" s="77"/>
      <c r="BK9" s="43"/>
      <c r="BL9" s="119">
        <v>1</v>
      </c>
      <c r="BM9" s="45"/>
      <c r="BN9" s="80"/>
      <c r="BO9" s="86">
        <v>2</v>
      </c>
      <c r="BP9" s="87">
        <v>1</v>
      </c>
      <c r="BQ9" s="45"/>
      <c r="BR9" s="77"/>
      <c r="BS9" s="43"/>
      <c r="BT9" s="87">
        <v>1</v>
      </c>
      <c r="BU9" s="45"/>
      <c r="BV9" s="41"/>
    </row>
    <row r="10" spans="1:74" s="1" customFormat="1" ht="18.75" x14ac:dyDescent="0.25">
      <c r="A10" s="134"/>
      <c r="B10" s="4" t="s">
        <v>69</v>
      </c>
      <c r="C10" s="34"/>
      <c r="D10" s="87">
        <v>140</v>
      </c>
      <c r="E10" s="34"/>
      <c r="F10" s="35"/>
      <c r="G10" s="34"/>
      <c r="H10" s="37"/>
      <c r="I10" s="45"/>
      <c r="J10" s="37"/>
      <c r="K10" s="34"/>
      <c r="L10" s="87">
        <v>156</v>
      </c>
      <c r="M10" s="34"/>
      <c r="N10" s="35"/>
      <c r="O10" s="34"/>
      <c r="P10" s="37"/>
      <c r="Q10" s="45"/>
      <c r="R10" s="37"/>
      <c r="S10" s="34"/>
      <c r="T10" s="87">
        <v>199</v>
      </c>
      <c r="U10" s="36"/>
      <c r="V10" s="35"/>
      <c r="W10" s="34"/>
      <c r="X10" s="46"/>
      <c r="Y10" s="43"/>
      <c r="Z10" s="37"/>
      <c r="AA10" s="34"/>
      <c r="AB10" s="35">
        <v>2</v>
      </c>
      <c r="AC10" s="36"/>
      <c r="AD10" s="44"/>
      <c r="AE10" s="108">
        <v>100</v>
      </c>
      <c r="AF10" s="37"/>
      <c r="AG10" s="38"/>
      <c r="AH10" s="37"/>
      <c r="AI10" s="34"/>
      <c r="AJ10" s="168"/>
      <c r="AK10" s="36"/>
      <c r="AL10" s="35"/>
      <c r="AM10" s="34"/>
      <c r="AN10" s="37"/>
      <c r="AO10" s="43"/>
      <c r="AP10" s="37"/>
      <c r="AQ10" s="34"/>
      <c r="AR10" s="35"/>
      <c r="AS10" s="36"/>
      <c r="AT10" s="77"/>
      <c r="AU10" s="34"/>
      <c r="AV10" s="37"/>
      <c r="AW10" s="47"/>
      <c r="AX10" s="37"/>
      <c r="AY10" s="34"/>
      <c r="AZ10" s="35"/>
      <c r="BA10" s="36"/>
      <c r="BB10" s="77"/>
      <c r="BC10" s="43"/>
      <c r="BD10" s="114">
        <v>1</v>
      </c>
      <c r="BE10" s="47"/>
      <c r="BF10" s="46"/>
      <c r="BG10" s="43"/>
      <c r="BH10" s="115">
        <v>1</v>
      </c>
      <c r="BI10" s="43"/>
      <c r="BJ10" s="77"/>
      <c r="BK10" s="43"/>
      <c r="BL10" s="87">
        <v>3</v>
      </c>
      <c r="BM10" s="45"/>
      <c r="BN10" s="80"/>
      <c r="BO10" s="107">
        <v>1</v>
      </c>
      <c r="BP10" s="167">
        <v>3</v>
      </c>
      <c r="BQ10" s="45"/>
      <c r="BR10" s="77"/>
      <c r="BS10" s="86">
        <v>3</v>
      </c>
      <c r="BT10" s="168">
        <v>0</v>
      </c>
      <c r="BU10" s="45"/>
      <c r="BV10" s="80"/>
    </row>
    <row r="11" spans="1:74" s="1" customFormat="1" ht="18.75" x14ac:dyDescent="0.25">
      <c r="A11" s="134"/>
      <c r="B11" s="4" t="s">
        <v>70</v>
      </c>
      <c r="C11" s="34"/>
      <c r="D11" s="87">
        <v>125</v>
      </c>
      <c r="E11" s="34"/>
      <c r="F11" s="35"/>
      <c r="G11" s="34"/>
      <c r="H11" s="37"/>
      <c r="I11" s="45"/>
      <c r="J11" s="37"/>
      <c r="K11" s="34"/>
      <c r="L11" s="87">
        <v>100</v>
      </c>
      <c r="M11" s="34"/>
      <c r="N11" s="35"/>
      <c r="O11" s="34"/>
      <c r="P11" s="37"/>
      <c r="Q11" s="45"/>
      <c r="R11" s="37"/>
      <c r="S11" s="34"/>
      <c r="T11" s="119">
        <v>50</v>
      </c>
      <c r="U11" s="36"/>
      <c r="V11" s="35"/>
      <c r="W11" s="34"/>
      <c r="X11" s="46"/>
      <c r="Y11" s="43"/>
      <c r="Z11" s="37"/>
      <c r="AA11" s="34"/>
      <c r="AB11" s="35"/>
      <c r="AC11" s="36"/>
      <c r="AD11" s="44"/>
      <c r="AE11" s="87">
        <v>100</v>
      </c>
      <c r="AF11" s="37"/>
      <c r="AG11" s="38"/>
      <c r="AH11" s="37"/>
      <c r="AI11" s="34"/>
      <c r="AJ11" s="168"/>
      <c r="AK11" s="36"/>
      <c r="AL11" s="35"/>
      <c r="AM11" s="34"/>
      <c r="AN11" s="37"/>
      <c r="AO11" s="43"/>
      <c r="AP11" s="37"/>
      <c r="AQ11" s="34"/>
      <c r="AR11" s="35"/>
      <c r="AS11" s="36"/>
      <c r="AT11" s="77"/>
      <c r="AU11" s="34"/>
      <c r="AV11" s="37"/>
      <c r="AW11" s="47"/>
      <c r="AX11" s="37"/>
      <c r="AY11" s="34"/>
      <c r="AZ11" s="35"/>
      <c r="BA11" s="36"/>
      <c r="BB11" s="78"/>
      <c r="BC11" s="43"/>
      <c r="BD11" s="114">
        <v>1</v>
      </c>
      <c r="BE11" s="47"/>
      <c r="BF11" s="46"/>
      <c r="BG11" s="43"/>
      <c r="BH11" s="115">
        <v>1</v>
      </c>
      <c r="BI11" s="45"/>
      <c r="BJ11" s="77"/>
      <c r="BK11" s="86">
        <v>1</v>
      </c>
      <c r="BL11" s="119">
        <v>3</v>
      </c>
      <c r="BM11" s="45"/>
      <c r="BN11" s="80"/>
      <c r="BO11" s="69"/>
      <c r="BP11" s="70"/>
      <c r="BQ11" s="71"/>
      <c r="BR11" s="70"/>
      <c r="BS11" s="69"/>
      <c r="BT11" s="80"/>
      <c r="BU11" s="45"/>
      <c r="BV11" s="80"/>
    </row>
    <row r="12" spans="1:74" s="1" customFormat="1" ht="18.75" x14ac:dyDescent="0.25">
      <c r="A12" s="135"/>
      <c r="B12" s="10" t="s">
        <v>71</v>
      </c>
      <c r="C12" s="39"/>
      <c r="D12" s="87">
        <v>134</v>
      </c>
      <c r="E12" s="34"/>
      <c r="F12" s="35"/>
      <c r="G12" s="34"/>
      <c r="H12" s="37"/>
      <c r="I12" s="45"/>
      <c r="J12" s="37"/>
      <c r="K12" s="34"/>
      <c r="L12" s="87">
        <v>120</v>
      </c>
      <c r="M12" s="34"/>
      <c r="N12" s="35"/>
      <c r="O12" s="34"/>
      <c r="P12" s="37"/>
      <c r="Q12" s="45"/>
      <c r="R12" s="37"/>
      <c r="S12" s="34"/>
      <c r="T12" s="119">
        <v>100</v>
      </c>
      <c r="U12" s="36"/>
      <c r="V12" s="35"/>
      <c r="W12" s="34"/>
      <c r="X12" s="46"/>
      <c r="Y12" s="43"/>
      <c r="Z12" s="37"/>
      <c r="AA12" s="34"/>
      <c r="AB12" s="35"/>
      <c r="AC12" s="36"/>
      <c r="AD12" s="44"/>
      <c r="AE12" s="87">
        <v>100</v>
      </c>
      <c r="AF12" s="37"/>
      <c r="AG12" s="38"/>
      <c r="AH12" s="37"/>
      <c r="AI12" s="34"/>
      <c r="AJ12" s="168"/>
      <c r="AK12" s="36"/>
      <c r="AL12" s="35"/>
      <c r="AM12" s="34"/>
      <c r="AN12" s="37"/>
      <c r="AO12" s="43"/>
      <c r="AP12" s="37"/>
      <c r="AQ12" s="34"/>
      <c r="AR12" s="35"/>
      <c r="AS12" s="36"/>
      <c r="AT12" s="77"/>
      <c r="AU12" s="34"/>
      <c r="AV12" s="37"/>
      <c r="AW12" s="47"/>
      <c r="AX12" s="37"/>
      <c r="AY12" s="34"/>
      <c r="AZ12" s="35"/>
      <c r="BA12" s="36"/>
      <c r="BB12" s="77"/>
      <c r="BC12" s="43"/>
      <c r="BD12" s="114">
        <v>1</v>
      </c>
      <c r="BE12" s="47"/>
      <c r="BF12" s="46"/>
      <c r="BG12" s="43"/>
      <c r="BH12" s="115">
        <v>1</v>
      </c>
      <c r="BI12" s="43"/>
      <c r="BJ12" s="77"/>
      <c r="BK12" s="43"/>
      <c r="BL12" s="119">
        <v>3</v>
      </c>
      <c r="BM12" s="45"/>
      <c r="BN12" s="80"/>
      <c r="BO12" s="43"/>
      <c r="BP12" s="119">
        <v>2</v>
      </c>
      <c r="BQ12" s="45"/>
      <c r="BR12" s="77"/>
      <c r="BS12" s="86">
        <v>2</v>
      </c>
      <c r="BT12" s="87">
        <v>1</v>
      </c>
      <c r="BU12" s="45"/>
      <c r="BV12" s="41">
        <v>1</v>
      </c>
    </row>
    <row r="13" spans="1:74" s="6" customFormat="1" ht="19.5" x14ac:dyDescent="0.3">
      <c r="C13" s="27">
        <f>SUM(C4:C12)</f>
        <v>0</v>
      </c>
      <c r="D13" s="27">
        <f t="shared" ref="D13:F13" si="0">SUM(D4:D12)</f>
        <v>1414</v>
      </c>
      <c r="E13" s="27">
        <f t="shared" si="0"/>
        <v>0</v>
      </c>
      <c r="F13" s="27">
        <f t="shared" si="0"/>
        <v>0</v>
      </c>
      <c r="G13" s="27">
        <f>SUM(G4:G12)</f>
        <v>0</v>
      </c>
      <c r="H13" s="27">
        <f t="shared" ref="H13:J13" si="1">SUM(H4:H12)</f>
        <v>0</v>
      </c>
      <c r="I13" s="27">
        <f t="shared" si="1"/>
        <v>0</v>
      </c>
      <c r="J13" s="27">
        <f t="shared" si="1"/>
        <v>0</v>
      </c>
      <c r="K13" s="27">
        <f t="shared" ref="K13" si="2">SUM(K4:K12)</f>
        <v>0</v>
      </c>
      <c r="L13" s="27">
        <f t="shared" ref="L13" si="3">SUM(L4:L12)</f>
        <v>1237</v>
      </c>
      <c r="M13" s="27">
        <f t="shared" ref="M13" si="4">SUM(M4:M12)</f>
        <v>0</v>
      </c>
      <c r="N13" s="27">
        <f t="shared" ref="N13" si="5">SUM(N4:N12)</f>
        <v>0</v>
      </c>
      <c r="O13" s="27">
        <f t="shared" ref="O13" si="6">SUM(O4:O12)</f>
        <v>0</v>
      </c>
      <c r="P13" s="27">
        <f t="shared" ref="P13" si="7">SUM(P4:P12)</f>
        <v>0</v>
      </c>
      <c r="Q13" s="27">
        <f t="shared" ref="Q13" si="8">SUM(Q4:Q12)</f>
        <v>0</v>
      </c>
      <c r="R13" s="27">
        <f t="shared" ref="R13" si="9">SUM(R4:R12)</f>
        <v>0</v>
      </c>
      <c r="S13" s="27">
        <f t="shared" ref="S13" si="10">SUM(S4:S12)</f>
        <v>0</v>
      </c>
      <c r="T13" s="27">
        <f t="shared" ref="T13" si="11">SUM(T4:T12)</f>
        <v>1006</v>
      </c>
      <c r="U13" s="27">
        <f t="shared" ref="U13" si="12">SUM(U4:U12)</f>
        <v>0</v>
      </c>
      <c r="V13" s="27">
        <f t="shared" ref="V13" si="13">SUM(V4:V12)</f>
        <v>0</v>
      </c>
      <c r="W13" s="27">
        <f t="shared" ref="W13" si="14">SUM(W4:W12)</f>
        <v>0</v>
      </c>
      <c r="X13" s="27">
        <f t="shared" ref="X13" si="15">SUM(X4:X12)</f>
        <v>0</v>
      </c>
      <c r="Y13" s="27">
        <f t="shared" ref="Y13" si="16">SUM(Y4:Y12)</f>
        <v>0</v>
      </c>
      <c r="Z13" s="27">
        <f t="shared" ref="Z13" si="17">SUM(Z4:Z12)</f>
        <v>0</v>
      </c>
      <c r="AA13" s="27">
        <f t="shared" ref="AA13" si="18">SUM(AA4:AA12)</f>
        <v>0</v>
      </c>
      <c r="AB13" s="27">
        <f t="shared" ref="AB13" si="19">SUM(AB4:AB12)</f>
        <v>5</v>
      </c>
      <c r="AC13" s="27">
        <f t="shared" ref="AC13" si="20">SUM(AC4:AC12)</f>
        <v>0</v>
      </c>
      <c r="AD13" s="27">
        <f t="shared" ref="AD13" si="21">SUM(AD4:AD12)</f>
        <v>0</v>
      </c>
      <c r="AE13" s="27">
        <f t="shared" ref="AE13" si="22">SUM(AE4:AE12)</f>
        <v>1315</v>
      </c>
      <c r="AF13" s="27">
        <f t="shared" ref="AF13" si="23">SUM(AF4:AF12)</f>
        <v>0</v>
      </c>
      <c r="AG13" s="27">
        <f t="shared" ref="AG13" si="24">SUM(AG4:AG12)</f>
        <v>0</v>
      </c>
      <c r="AH13" s="27">
        <f t="shared" ref="AH13" si="25">SUM(AH4:AH12)</f>
        <v>0</v>
      </c>
      <c r="AI13" s="27">
        <f t="shared" ref="AI13" si="26">SUM(AI4:AI12)</f>
        <v>0</v>
      </c>
      <c r="AJ13" s="27">
        <f t="shared" ref="AJ13" si="27">SUM(AJ4:AJ12)</f>
        <v>394</v>
      </c>
      <c r="AK13" s="27">
        <f t="shared" ref="AK13" si="28">SUM(AK4:AK12)</f>
        <v>0</v>
      </c>
      <c r="AL13" s="27">
        <f t="shared" ref="AL13" si="29">SUM(AL4:AL12)</f>
        <v>0</v>
      </c>
      <c r="AM13" s="27">
        <f t="shared" ref="AM13" si="30">SUM(AM4:AM12)</f>
        <v>0</v>
      </c>
      <c r="AN13" s="27">
        <f t="shared" ref="AN13" si="31">SUM(AN4:AN12)</f>
        <v>0</v>
      </c>
      <c r="AO13" s="27">
        <f t="shared" ref="AO13" si="32">SUM(AO4:AO12)</f>
        <v>0</v>
      </c>
      <c r="AP13" s="27">
        <f t="shared" ref="AP13" si="33">SUM(AP4:AP12)</f>
        <v>0</v>
      </c>
      <c r="AQ13" s="27">
        <f t="shared" ref="AQ13" si="34">SUM(AQ4:AQ12)</f>
        <v>0</v>
      </c>
      <c r="AR13" s="27">
        <f t="shared" ref="AR13" si="35">SUM(AR4:AR12)</f>
        <v>0</v>
      </c>
      <c r="AS13" s="27">
        <f t="shared" ref="AS13" si="36">SUM(AS4:AS12)</f>
        <v>0</v>
      </c>
      <c r="AT13" s="27">
        <f t="shared" ref="AT13" si="37">SUM(AT4:AT12)</f>
        <v>0</v>
      </c>
      <c r="AU13" s="27">
        <f t="shared" ref="AU13" si="38">SUM(AU4:AU12)</f>
        <v>0</v>
      </c>
      <c r="AV13" s="27">
        <f t="shared" ref="AV13" si="39">SUM(AV4:AV12)</f>
        <v>0</v>
      </c>
      <c r="AW13" s="27">
        <f t="shared" ref="AW13" si="40">SUM(AW4:AW12)</f>
        <v>0</v>
      </c>
      <c r="AX13" s="27">
        <f t="shared" ref="AX13" si="41">SUM(AX4:AX12)</f>
        <v>0</v>
      </c>
      <c r="AY13" s="27">
        <f t="shared" ref="AY13" si="42">SUM(AY4:AY12)</f>
        <v>0</v>
      </c>
      <c r="AZ13" s="27">
        <f t="shared" ref="AZ13" si="43">SUM(AZ4:AZ12)</f>
        <v>0</v>
      </c>
      <c r="BA13" s="27">
        <f t="shared" ref="BA13" si="44">SUM(BA4:BA12)</f>
        <v>0</v>
      </c>
      <c r="BB13" s="27">
        <f t="shared" ref="BB13" si="45">SUM(BB4:BB12)</f>
        <v>0</v>
      </c>
      <c r="BC13" s="27"/>
      <c r="BD13" s="112">
        <v>1</v>
      </c>
      <c r="BE13" s="27"/>
      <c r="BF13" s="27"/>
      <c r="BG13" s="27"/>
      <c r="BH13" s="112">
        <v>1</v>
      </c>
      <c r="BI13" s="27">
        <f t="shared" ref="BI13" si="46">SUM(BI4:BI12)</f>
        <v>0</v>
      </c>
      <c r="BJ13" s="27">
        <f t="shared" ref="BJ13" si="47">SUM(BJ4:BJ12)</f>
        <v>0</v>
      </c>
      <c r="BK13" s="27">
        <f t="shared" ref="BK13" si="48">SUM(BK4:BK12)</f>
        <v>6</v>
      </c>
      <c r="BL13" s="27">
        <f t="shared" ref="BL13" si="49">SUM(BL4:BL12)</f>
        <v>22</v>
      </c>
      <c r="BM13" s="27">
        <f t="shared" ref="BM13" si="50">SUM(BM4:BM12)</f>
        <v>0</v>
      </c>
      <c r="BN13" s="27">
        <f t="shared" ref="BN13" si="51">SUM(BN4:BN12)</f>
        <v>0</v>
      </c>
      <c r="BO13" s="27">
        <f>SUM(BO4:BO12)</f>
        <v>8</v>
      </c>
      <c r="BP13" s="27">
        <f t="shared" ref="BP13" si="52">SUM(BP4:BP12)</f>
        <v>12</v>
      </c>
      <c r="BQ13" s="27">
        <f t="shared" ref="BQ13" si="53">SUM(BQ4:BQ12)</f>
        <v>0</v>
      </c>
      <c r="BR13" s="27">
        <f t="shared" ref="BR13" si="54">SUM(BR4:BR12)</f>
        <v>0</v>
      </c>
      <c r="BS13" s="27">
        <f t="shared" ref="BS13" si="55">SUM(BS4:BS12)</f>
        <v>12</v>
      </c>
      <c r="BT13" s="27">
        <f t="shared" ref="BT13" si="56">SUM(BT4:BT12)</f>
        <v>9</v>
      </c>
      <c r="BU13" s="27">
        <f>SUM(BU4:BU12)</f>
        <v>0</v>
      </c>
      <c r="BV13" s="27">
        <f>SUM(BV4:BV12)</f>
        <v>1</v>
      </c>
    </row>
    <row r="14" spans="1:74" s="7" customFormat="1" ht="21" x14ac:dyDescent="0.35">
      <c r="B14" s="8" t="s">
        <v>7</v>
      </c>
      <c r="C14" s="8">
        <f>SUM(C13+D13+E13+F13)</f>
        <v>1414</v>
      </c>
      <c r="D14" s="9"/>
      <c r="E14" s="9"/>
      <c r="F14" s="9"/>
      <c r="G14" s="8">
        <f>SUM(G13+H13+I13+J13)</f>
        <v>0</v>
      </c>
      <c r="H14" s="9"/>
      <c r="I14" s="9"/>
      <c r="J14" s="9"/>
      <c r="K14" s="8">
        <f>SUM(K13+L13+M13+N13)</f>
        <v>1237</v>
      </c>
      <c r="L14" s="9"/>
      <c r="M14" s="9"/>
      <c r="N14" s="9"/>
      <c r="O14" s="8">
        <f>SUM(O13+P13+Q13+R13)</f>
        <v>0</v>
      </c>
      <c r="P14" s="9"/>
      <c r="Q14" s="9"/>
      <c r="R14" s="9"/>
      <c r="S14" s="8">
        <f>SUM(S13+T13+U13+V13)</f>
        <v>1006</v>
      </c>
      <c r="T14" s="9"/>
      <c r="U14" s="9"/>
      <c r="V14" s="9"/>
      <c r="W14" s="8">
        <f>SUM(W13+X13+Y13+Z13)</f>
        <v>0</v>
      </c>
      <c r="X14" s="9"/>
      <c r="Y14" s="9"/>
      <c r="Z14" s="9"/>
      <c r="AA14" s="8">
        <f>SUM(AA13+AB13+AC13+AD13)</f>
        <v>5</v>
      </c>
      <c r="AB14" s="9"/>
      <c r="AC14" s="9"/>
      <c r="AD14" s="9"/>
      <c r="AE14" s="8">
        <f>SUM(AE13:AH13)</f>
        <v>1315</v>
      </c>
      <c r="AF14" s="9"/>
      <c r="AG14" s="9"/>
      <c r="AH14" s="9"/>
      <c r="AI14" s="8">
        <f>SUM(AI13+AJ13+AK13+AL13)</f>
        <v>394</v>
      </c>
      <c r="AJ14" s="9"/>
      <c r="AK14" s="9"/>
      <c r="AL14" s="9"/>
      <c r="AM14" s="8">
        <f>SUM(AM13+AN13+AO13+AP13)</f>
        <v>0</v>
      </c>
      <c r="AN14" s="9"/>
      <c r="AO14" s="9"/>
      <c r="AP14" s="9"/>
      <c r="AQ14" s="8">
        <f>SUM(AQ13+AR13+AS13+AT13)</f>
        <v>0</v>
      </c>
      <c r="AR14" s="9"/>
      <c r="AS14" s="9"/>
      <c r="AT14" s="9"/>
      <c r="AU14" s="8">
        <f>SUM(AU13:AX13)</f>
        <v>0</v>
      </c>
      <c r="AV14" s="9"/>
      <c r="AW14" s="9"/>
      <c r="AX14" s="9"/>
      <c r="AY14" s="8">
        <f>SUM(AY13:BB13)</f>
        <v>0</v>
      </c>
      <c r="AZ14" s="9"/>
      <c r="BA14" s="9"/>
      <c r="BB14" s="9"/>
      <c r="BC14" s="113">
        <v>1</v>
      </c>
      <c r="BD14" s="9"/>
      <c r="BE14" s="9"/>
      <c r="BF14" s="9"/>
      <c r="BG14" s="113">
        <v>1</v>
      </c>
      <c r="BH14" s="9"/>
      <c r="BI14" s="9"/>
      <c r="BJ14" s="9"/>
      <c r="BK14" s="8">
        <f>SUM(BK13:BN13)</f>
        <v>28</v>
      </c>
      <c r="BL14" s="9"/>
      <c r="BM14" s="9"/>
      <c r="BN14" s="9"/>
      <c r="BO14" s="8">
        <f>SUM(BO13:BR13)</f>
        <v>20</v>
      </c>
      <c r="BP14" s="9"/>
      <c r="BQ14" s="9"/>
      <c r="BR14" s="9"/>
      <c r="BS14" s="8">
        <f>SUM(BS13:BV13)</f>
        <v>22</v>
      </c>
      <c r="BT14" s="9"/>
      <c r="BU14" s="9"/>
      <c r="BV14" s="9"/>
    </row>
  </sheetData>
  <mergeCells count="21">
    <mergeCell ref="AU1:AX1"/>
    <mergeCell ref="AY1:BB1"/>
    <mergeCell ref="BK1:BN1"/>
    <mergeCell ref="BO1:BR1"/>
    <mergeCell ref="BS1:BV1"/>
    <mergeCell ref="BC1:BF1"/>
    <mergeCell ref="BG1:BJ1"/>
    <mergeCell ref="AQ1:AT1"/>
    <mergeCell ref="A3:A12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10"/>
  <sheetViews>
    <sheetView topLeftCell="BJ1" zoomScaleNormal="100" workbookViewId="0">
      <selection activeCell="BS8" sqref="BS8:BV8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241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48" t="s">
        <v>140</v>
      </c>
      <c r="BH1" s="149"/>
      <c r="BI1" s="149"/>
      <c r="BJ1" s="150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148</v>
      </c>
      <c r="B3" s="96" t="s">
        <v>63</v>
      </c>
      <c r="C3" s="43"/>
      <c r="D3" s="87">
        <v>125</v>
      </c>
      <c r="E3" s="43"/>
      <c r="F3" s="44"/>
      <c r="G3" s="43"/>
      <c r="H3" s="46"/>
      <c r="I3" s="45"/>
      <c r="J3" s="46"/>
      <c r="K3" s="43"/>
      <c r="L3" s="87">
        <v>100</v>
      </c>
      <c r="M3" s="43"/>
      <c r="N3" s="44"/>
      <c r="O3" s="43"/>
      <c r="P3" s="46"/>
      <c r="Q3" s="45"/>
      <c r="R3" s="46"/>
      <c r="S3" s="43"/>
      <c r="T3" s="119">
        <v>50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108">
        <v>100</v>
      </c>
      <c r="AF3" s="46"/>
      <c r="AG3" s="47"/>
      <c r="AH3" s="46"/>
      <c r="AI3" s="43"/>
      <c r="AJ3" s="44"/>
      <c r="AK3" s="168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20">
        <v>1</v>
      </c>
      <c r="BE3" s="47"/>
      <c r="BF3" s="46"/>
      <c r="BG3" s="43"/>
      <c r="BH3" s="121">
        <v>1</v>
      </c>
      <c r="BI3" s="47"/>
      <c r="BJ3" s="77"/>
      <c r="BK3" s="88">
        <v>1</v>
      </c>
      <c r="BL3" s="119">
        <v>3</v>
      </c>
      <c r="BM3" s="45"/>
      <c r="BN3" s="80"/>
      <c r="BO3" s="88">
        <v>1</v>
      </c>
      <c r="BP3" s="119">
        <v>3</v>
      </c>
      <c r="BQ3" s="43"/>
      <c r="BR3" s="77"/>
      <c r="BS3" s="43"/>
      <c r="BT3" s="162" t="s">
        <v>232</v>
      </c>
      <c r="BU3" s="163"/>
      <c r="BV3" s="164"/>
    </row>
    <row r="4" spans="1:74" s="1" customFormat="1" ht="15.75" customHeight="1" x14ac:dyDescent="0.25">
      <c r="A4" s="165"/>
      <c r="B4" s="96" t="s">
        <v>64</v>
      </c>
      <c r="C4" s="43"/>
      <c r="D4" s="87">
        <v>145</v>
      </c>
      <c r="E4" s="43"/>
      <c r="F4" s="44"/>
      <c r="G4" s="43"/>
      <c r="H4" s="46"/>
      <c r="I4" s="45"/>
      <c r="J4" s="46"/>
      <c r="K4" s="43"/>
      <c r="L4" s="87">
        <v>120</v>
      </c>
      <c r="M4" s="43"/>
      <c r="N4" s="44"/>
      <c r="O4" s="43"/>
      <c r="P4" s="46"/>
      <c r="Q4" s="45"/>
      <c r="R4" s="46"/>
      <c r="S4" s="43"/>
      <c r="T4" s="119">
        <v>80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187</v>
      </c>
      <c r="AF4" s="46"/>
      <c r="AG4" s="47"/>
      <c r="AH4" s="46"/>
      <c r="AI4" s="43"/>
      <c r="AJ4" s="44"/>
      <c r="AK4" s="168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20">
        <v>1</v>
      </c>
      <c r="BE4" s="47"/>
      <c r="BF4" s="46"/>
      <c r="BG4" s="43"/>
      <c r="BH4" s="121">
        <v>1</v>
      </c>
      <c r="BI4" s="47"/>
      <c r="BJ4" s="77"/>
      <c r="BK4" s="69"/>
      <c r="BL4" s="71"/>
      <c r="BM4" s="71"/>
      <c r="BN4" s="71"/>
      <c r="BO4" s="88">
        <v>1</v>
      </c>
      <c r="BP4" s="77"/>
      <c r="BQ4" s="43"/>
      <c r="BR4" s="77"/>
      <c r="BS4" s="159" t="s">
        <v>233</v>
      </c>
      <c r="BT4" s="160"/>
      <c r="BU4" s="160"/>
      <c r="BV4" s="161"/>
    </row>
    <row r="5" spans="1:74" s="1" customFormat="1" ht="18.75" x14ac:dyDescent="0.25">
      <c r="A5" s="165"/>
      <c r="B5" s="96" t="s">
        <v>144</v>
      </c>
      <c r="C5" s="43"/>
      <c r="D5" s="86">
        <v>125</v>
      </c>
      <c r="E5" s="43"/>
      <c r="F5" s="44"/>
      <c r="G5" s="43"/>
      <c r="H5" s="46"/>
      <c r="I5" s="45"/>
      <c r="J5" s="46"/>
      <c r="K5" s="43"/>
      <c r="L5" s="87">
        <v>100</v>
      </c>
      <c r="M5" s="43"/>
      <c r="N5" s="44"/>
      <c r="O5" s="43"/>
      <c r="P5" s="46"/>
      <c r="Q5" s="45"/>
      <c r="R5" s="46"/>
      <c r="S5" s="43"/>
      <c r="T5" s="119">
        <v>155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108">
        <v>129</v>
      </c>
      <c r="AF5" s="46"/>
      <c r="AG5" s="47"/>
      <c r="AH5" s="46"/>
      <c r="AI5" s="43"/>
      <c r="AJ5" s="44"/>
      <c r="AK5" s="168"/>
      <c r="AL5" s="44"/>
      <c r="AM5" s="43"/>
      <c r="AN5" s="46"/>
      <c r="AO5" s="43"/>
      <c r="AP5" s="46"/>
      <c r="AQ5" s="43"/>
      <c r="AR5" s="44"/>
      <c r="AS5" s="45"/>
      <c r="AT5" s="79"/>
      <c r="AU5" s="43"/>
      <c r="AV5" s="46"/>
      <c r="AW5" s="47"/>
      <c r="AX5" s="46"/>
      <c r="AY5" s="43"/>
      <c r="AZ5" s="44"/>
      <c r="BA5" s="45"/>
      <c r="BB5" s="77"/>
      <c r="BC5" s="43"/>
      <c r="BD5" s="120">
        <v>1</v>
      </c>
      <c r="BE5" s="47"/>
      <c r="BF5" s="46"/>
      <c r="BG5" s="43"/>
      <c r="BH5" s="121">
        <v>1</v>
      </c>
      <c r="BI5" s="47"/>
      <c r="BJ5" s="77"/>
      <c r="BK5" s="107">
        <v>2</v>
      </c>
      <c r="BL5" s="80"/>
      <c r="BM5" s="43"/>
      <c r="BN5" s="80"/>
      <c r="BO5" s="43"/>
      <c r="BP5" s="77"/>
      <c r="BQ5" s="45"/>
      <c r="BR5" s="77"/>
      <c r="BS5" s="159" t="s">
        <v>233</v>
      </c>
      <c r="BT5" s="160"/>
      <c r="BU5" s="160"/>
      <c r="BV5" s="161"/>
    </row>
    <row r="6" spans="1:74" s="1" customFormat="1" ht="18.75" x14ac:dyDescent="0.25">
      <c r="A6" s="165"/>
      <c r="B6" s="96" t="s">
        <v>145</v>
      </c>
      <c r="C6" s="43"/>
      <c r="D6" s="87">
        <v>125</v>
      </c>
      <c r="E6" s="43"/>
      <c r="F6" s="44"/>
      <c r="G6" s="43"/>
      <c r="H6" s="46"/>
      <c r="I6" s="45"/>
      <c r="J6" s="46"/>
      <c r="K6" s="43"/>
      <c r="L6" s="87">
        <v>118</v>
      </c>
      <c r="M6" s="43"/>
      <c r="N6" s="44"/>
      <c r="O6" s="43"/>
      <c r="P6" s="46"/>
      <c r="Q6" s="45"/>
      <c r="R6" s="46"/>
      <c r="S6" s="43"/>
      <c r="T6" s="119">
        <v>60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100</v>
      </c>
      <c r="AF6" s="46"/>
      <c r="AG6" s="47"/>
      <c r="AH6" s="46"/>
      <c r="AI6" s="43"/>
      <c r="AJ6" s="44"/>
      <c r="AK6" s="168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20">
        <v>1</v>
      </c>
      <c r="BE6" s="47"/>
      <c r="BF6" s="46"/>
      <c r="BG6" s="43"/>
      <c r="BH6" s="121">
        <v>1</v>
      </c>
      <c r="BI6" s="47"/>
      <c r="BJ6" s="77"/>
      <c r="BK6" s="86">
        <v>2</v>
      </c>
      <c r="BL6" s="119">
        <v>3</v>
      </c>
      <c r="BM6" s="45"/>
      <c r="BN6" s="80"/>
      <c r="BO6" s="86">
        <v>1</v>
      </c>
      <c r="BP6" s="119">
        <v>3</v>
      </c>
      <c r="BQ6" s="45"/>
      <c r="BR6" s="77"/>
      <c r="BS6" s="159" t="s">
        <v>233</v>
      </c>
      <c r="BT6" s="160"/>
      <c r="BU6" s="160"/>
      <c r="BV6" s="161"/>
    </row>
    <row r="7" spans="1:74" s="1" customFormat="1" ht="18.75" x14ac:dyDescent="0.25">
      <c r="A7" s="165"/>
      <c r="B7" s="96" t="s">
        <v>146</v>
      </c>
      <c r="C7" s="43"/>
      <c r="D7" s="87">
        <v>125</v>
      </c>
      <c r="E7" s="43"/>
      <c r="F7" s="44"/>
      <c r="G7" s="43"/>
      <c r="H7" s="46"/>
      <c r="I7" s="45"/>
      <c r="J7" s="46"/>
      <c r="K7" s="43"/>
      <c r="L7" s="87">
        <v>100</v>
      </c>
      <c r="M7" s="43"/>
      <c r="N7" s="44"/>
      <c r="O7" s="43"/>
      <c r="P7" s="46"/>
      <c r="Q7" s="45"/>
      <c r="R7" s="46"/>
      <c r="S7" s="43"/>
      <c r="T7" s="119">
        <v>50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87">
        <v>100</v>
      </c>
      <c r="AF7" s="46"/>
      <c r="AG7" s="47"/>
      <c r="AH7" s="46"/>
      <c r="AI7" s="43"/>
      <c r="AJ7" s="44"/>
      <c r="AK7" s="168"/>
      <c r="AL7" s="44"/>
      <c r="AM7" s="43"/>
      <c r="AN7" s="46"/>
      <c r="AO7" s="43"/>
      <c r="AP7" s="46"/>
      <c r="AQ7" s="43"/>
      <c r="AR7" s="44"/>
      <c r="AS7" s="45"/>
      <c r="AT7" s="79"/>
      <c r="AU7" s="43"/>
      <c r="AV7" s="46"/>
      <c r="AW7" s="47"/>
      <c r="AX7" s="46"/>
      <c r="AY7" s="43"/>
      <c r="AZ7" s="44"/>
      <c r="BA7" s="45"/>
      <c r="BB7" s="77"/>
      <c r="BC7" s="43"/>
      <c r="BD7" s="120">
        <v>1</v>
      </c>
      <c r="BE7" s="47"/>
      <c r="BF7" s="46"/>
      <c r="BG7" s="43"/>
      <c r="BH7" s="121">
        <v>1</v>
      </c>
      <c r="BI7" s="47"/>
      <c r="BJ7" s="77"/>
      <c r="BK7" s="43"/>
      <c r="BL7" s="119">
        <v>3</v>
      </c>
      <c r="BM7" s="45"/>
      <c r="BN7" s="80"/>
      <c r="BO7" s="86">
        <v>3</v>
      </c>
      <c r="BP7" s="119">
        <v>2</v>
      </c>
      <c r="BQ7" s="45"/>
      <c r="BR7" s="77"/>
      <c r="BS7" s="159" t="s">
        <v>233</v>
      </c>
      <c r="BT7" s="160"/>
      <c r="BU7" s="160"/>
      <c r="BV7" s="161"/>
    </row>
    <row r="8" spans="1:74" s="1" customFormat="1" ht="18.75" x14ac:dyDescent="0.25">
      <c r="A8" s="165"/>
      <c r="B8" s="96" t="s">
        <v>147</v>
      </c>
      <c r="C8" s="43"/>
      <c r="D8" s="87">
        <v>125</v>
      </c>
      <c r="E8" s="43"/>
      <c r="F8" s="44"/>
      <c r="G8" s="43"/>
      <c r="H8" s="46"/>
      <c r="I8" s="45"/>
      <c r="J8" s="46"/>
      <c r="K8" s="43"/>
      <c r="L8" s="87">
        <v>100</v>
      </c>
      <c r="M8" s="43"/>
      <c r="N8" s="44"/>
      <c r="O8" s="43"/>
      <c r="P8" s="46"/>
      <c r="Q8" s="45"/>
      <c r="R8" s="46"/>
      <c r="S8" s="43"/>
      <c r="T8" s="119">
        <v>50</v>
      </c>
      <c r="U8" s="45"/>
      <c r="V8" s="44"/>
      <c r="W8" s="43"/>
      <c r="X8" s="46"/>
      <c r="Y8" s="43"/>
      <c r="Z8" s="46"/>
      <c r="AA8" s="43"/>
      <c r="AB8" s="44"/>
      <c r="AC8" s="45"/>
      <c r="AD8" s="44"/>
      <c r="AE8" s="87">
        <v>153</v>
      </c>
      <c r="AF8" s="46"/>
      <c r="AG8" s="47"/>
      <c r="AH8" s="46"/>
      <c r="AI8" s="43"/>
      <c r="AJ8" s="44"/>
      <c r="AK8" s="168"/>
      <c r="AL8" s="44"/>
      <c r="AM8" s="43"/>
      <c r="AN8" s="46"/>
      <c r="AO8" s="43"/>
      <c r="AP8" s="46"/>
      <c r="AQ8" s="43"/>
      <c r="AR8" s="44"/>
      <c r="AS8" s="45"/>
      <c r="AT8" s="77"/>
      <c r="AU8" s="43"/>
      <c r="AV8" s="46"/>
      <c r="AW8" s="47"/>
      <c r="AX8" s="46"/>
      <c r="AY8" s="43"/>
      <c r="AZ8" s="44"/>
      <c r="BA8" s="45"/>
      <c r="BB8" s="77"/>
      <c r="BC8" s="43"/>
      <c r="BD8" s="120">
        <v>1</v>
      </c>
      <c r="BE8" s="47"/>
      <c r="BF8" s="46"/>
      <c r="BG8" s="43"/>
      <c r="BH8" s="121">
        <v>1</v>
      </c>
      <c r="BI8" s="45"/>
      <c r="BJ8" s="77"/>
      <c r="BK8" s="107">
        <v>2</v>
      </c>
      <c r="BL8" s="119">
        <v>1</v>
      </c>
      <c r="BM8" s="45"/>
      <c r="BN8" s="80"/>
      <c r="BO8" s="107">
        <v>3</v>
      </c>
      <c r="BP8" s="119">
        <v>1</v>
      </c>
      <c r="BQ8" s="45"/>
      <c r="BR8" s="77"/>
      <c r="BS8" s="159" t="s">
        <v>233</v>
      </c>
      <c r="BT8" s="160"/>
      <c r="BU8" s="160"/>
      <c r="BV8" s="161"/>
    </row>
    <row r="9" spans="1:74" s="6" customFormat="1" ht="19.5" x14ac:dyDescent="0.3">
      <c r="C9" s="27">
        <f t="shared" ref="C9:AH9" si="0">SUM(C3:C8)</f>
        <v>0</v>
      </c>
      <c r="D9" s="27">
        <f t="shared" si="0"/>
        <v>770</v>
      </c>
      <c r="E9" s="27">
        <f t="shared" si="0"/>
        <v>0</v>
      </c>
      <c r="F9" s="27">
        <f t="shared" si="0"/>
        <v>0</v>
      </c>
      <c r="G9" s="27">
        <f t="shared" si="0"/>
        <v>0</v>
      </c>
      <c r="H9" s="27">
        <f t="shared" si="0"/>
        <v>0</v>
      </c>
      <c r="I9" s="27">
        <f t="shared" si="0"/>
        <v>0</v>
      </c>
      <c r="J9" s="27">
        <f t="shared" si="0"/>
        <v>0</v>
      </c>
      <c r="K9" s="27">
        <f t="shared" si="0"/>
        <v>0</v>
      </c>
      <c r="L9" s="27">
        <f t="shared" si="0"/>
        <v>638</v>
      </c>
      <c r="M9" s="27">
        <f t="shared" si="0"/>
        <v>0</v>
      </c>
      <c r="N9" s="27">
        <f t="shared" si="0"/>
        <v>0</v>
      </c>
      <c r="O9" s="27">
        <f t="shared" si="0"/>
        <v>0</v>
      </c>
      <c r="P9" s="27">
        <f t="shared" si="0"/>
        <v>0</v>
      </c>
      <c r="Q9" s="27">
        <f t="shared" si="0"/>
        <v>0</v>
      </c>
      <c r="R9" s="27">
        <f t="shared" si="0"/>
        <v>0</v>
      </c>
      <c r="S9" s="27">
        <f t="shared" si="0"/>
        <v>0</v>
      </c>
      <c r="T9" s="27">
        <f t="shared" si="0"/>
        <v>445</v>
      </c>
      <c r="U9" s="27">
        <f t="shared" si="0"/>
        <v>0</v>
      </c>
      <c r="V9" s="27">
        <f t="shared" si="0"/>
        <v>0</v>
      </c>
      <c r="W9" s="27">
        <f t="shared" si="0"/>
        <v>0</v>
      </c>
      <c r="X9" s="27">
        <f t="shared" si="0"/>
        <v>0</v>
      </c>
      <c r="Y9" s="27">
        <f t="shared" si="0"/>
        <v>0</v>
      </c>
      <c r="Z9" s="27">
        <f t="shared" si="0"/>
        <v>0</v>
      </c>
      <c r="AA9" s="27">
        <f t="shared" si="0"/>
        <v>0</v>
      </c>
      <c r="AB9" s="27">
        <f t="shared" si="0"/>
        <v>0</v>
      </c>
      <c r="AC9" s="27">
        <f t="shared" si="0"/>
        <v>0</v>
      </c>
      <c r="AD9" s="27">
        <f t="shared" si="0"/>
        <v>0</v>
      </c>
      <c r="AE9" s="27">
        <f t="shared" si="0"/>
        <v>769</v>
      </c>
      <c r="AF9" s="27">
        <f t="shared" si="0"/>
        <v>0</v>
      </c>
      <c r="AG9" s="27">
        <f t="shared" si="0"/>
        <v>0</v>
      </c>
      <c r="AH9" s="27">
        <f t="shared" si="0"/>
        <v>0</v>
      </c>
      <c r="AI9" s="27">
        <f t="shared" ref="AI9:BN9" si="1">SUM(AI3:AI8)</f>
        <v>0</v>
      </c>
      <c r="AJ9" s="27">
        <f t="shared" si="1"/>
        <v>0</v>
      </c>
      <c r="AK9" s="27">
        <f t="shared" si="1"/>
        <v>0</v>
      </c>
      <c r="AL9" s="27">
        <f t="shared" si="1"/>
        <v>0</v>
      </c>
      <c r="AM9" s="27">
        <f t="shared" si="1"/>
        <v>0</v>
      </c>
      <c r="AN9" s="27">
        <f t="shared" si="1"/>
        <v>0</v>
      </c>
      <c r="AO9" s="27">
        <f t="shared" si="1"/>
        <v>0</v>
      </c>
      <c r="AP9" s="27">
        <f t="shared" si="1"/>
        <v>0</v>
      </c>
      <c r="AQ9" s="27">
        <f t="shared" si="1"/>
        <v>0</v>
      </c>
      <c r="AR9" s="27">
        <f t="shared" si="1"/>
        <v>0</v>
      </c>
      <c r="AS9" s="27">
        <f t="shared" si="1"/>
        <v>0</v>
      </c>
      <c r="AT9" s="27">
        <f t="shared" si="1"/>
        <v>0</v>
      </c>
      <c r="AU9" s="27">
        <f t="shared" si="1"/>
        <v>0</v>
      </c>
      <c r="AV9" s="27">
        <f t="shared" si="1"/>
        <v>0</v>
      </c>
      <c r="AW9" s="27">
        <f t="shared" si="1"/>
        <v>0</v>
      </c>
      <c r="AX9" s="27">
        <f t="shared" si="1"/>
        <v>0</v>
      </c>
      <c r="AY9" s="27">
        <f t="shared" si="1"/>
        <v>0</v>
      </c>
      <c r="AZ9" s="27">
        <f t="shared" si="1"/>
        <v>0</v>
      </c>
      <c r="BA9" s="27">
        <f t="shared" si="1"/>
        <v>0</v>
      </c>
      <c r="BB9" s="27">
        <f t="shared" si="1"/>
        <v>0</v>
      </c>
      <c r="BC9" s="27"/>
      <c r="BD9" s="27"/>
      <c r="BE9" s="27"/>
      <c r="BF9" s="27"/>
      <c r="BG9" s="27"/>
      <c r="BH9" s="27"/>
      <c r="BI9" s="27"/>
      <c r="BJ9" s="27"/>
      <c r="BK9" s="27">
        <f t="shared" si="1"/>
        <v>7</v>
      </c>
      <c r="BL9" s="27">
        <f t="shared" si="1"/>
        <v>10</v>
      </c>
      <c r="BM9" s="27">
        <f t="shared" si="1"/>
        <v>0</v>
      </c>
      <c r="BN9" s="27">
        <f t="shared" si="1"/>
        <v>0</v>
      </c>
      <c r="BO9" s="27">
        <f t="shared" ref="BO9:BV9" si="2">SUM(BO3:BO8)</f>
        <v>9</v>
      </c>
      <c r="BP9" s="27">
        <f t="shared" si="2"/>
        <v>9</v>
      </c>
      <c r="BQ9" s="27">
        <f t="shared" si="2"/>
        <v>0</v>
      </c>
      <c r="BR9" s="27">
        <f t="shared" si="2"/>
        <v>0</v>
      </c>
      <c r="BS9" s="27">
        <f t="shared" si="2"/>
        <v>0</v>
      </c>
      <c r="BT9" s="27">
        <f t="shared" si="2"/>
        <v>0</v>
      </c>
      <c r="BU9" s="27">
        <f t="shared" si="2"/>
        <v>0</v>
      </c>
      <c r="BV9" s="27">
        <f t="shared" si="2"/>
        <v>0</v>
      </c>
    </row>
    <row r="10" spans="1:74" s="7" customFormat="1" ht="21" x14ac:dyDescent="0.35">
      <c r="B10" s="8" t="s">
        <v>7</v>
      </c>
      <c r="C10" s="8">
        <f>SUM(C9+D9+E9+F9)</f>
        <v>770</v>
      </c>
      <c r="D10" s="9"/>
      <c r="E10" s="9"/>
      <c r="F10" s="9"/>
      <c r="G10" s="8">
        <f>SUM(G9+H9+I9+J9)</f>
        <v>0</v>
      </c>
      <c r="H10" s="9"/>
      <c r="I10" s="9"/>
      <c r="J10" s="9"/>
      <c r="K10" s="8">
        <f>SUM(K9+L9+M9+N9)</f>
        <v>638</v>
      </c>
      <c r="L10" s="9"/>
      <c r="M10" s="9"/>
      <c r="N10" s="9"/>
      <c r="O10" s="8">
        <f>SUM(O9+P9+Q9+R9)</f>
        <v>0</v>
      </c>
      <c r="P10" s="9"/>
      <c r="Q10" s="9"/>
      <c r="R10" s="9"/>
      <c r="S10" s="8">
        <f>SUM(S9+T9+U9+V9)</f>
        <v>445</v>
      </c>
      <c r="T10" s="9"/>
      <c r="U10" s="9"/>
      <c r="V10" s="9"/>
      <c r="W10" s="8">
        <f>SUM(W9+X9+Y9+Z9)</f>
        <v>0</v>
      </c>
      <c r="X10" s="9"/>
      <c r="Y10" s="9"/>
      <c r="Z10" s="9"/>
      <c r="AA10" s="8">
        <f>SUM(AA9+AB9+AC9+AD9)</f>
        <v>0</v>
      </c>
      <c r="AB10" s="9"/>
      <c r="AC10" s="9"/>
      <c r="AD10" s="9"/>
      <c r="AE10" s="8">
        <f>SUM(AE9:AH9)</f>
        <v>769</v>
      </c>
      <c r="AF10" s="9"/>
      <c r="AG10" s="9"/>
      <c r="AH10" s="9"/>
      <c r="AI10" s="8">
        <f>SUM(AI9+AJ9+AK9+AL9)</f>
        <v>0</v>
      </c>
      <c r="AJ10" s="9"/>
      <c r="AK10" s="9"/>
      <c r="AL10" s="9"/>
      <c r="AM10" s="8">
        <f>SUM(AM9+AN9+AO9+AP9)</f>
        <v>0</v>
      </c>
      <c r="AN10" s="9"/>
      <c r="AO10" s="9"/>
      <c r="AP10" s="9"/>
      <c r="AQ10" s="8">
        <f>SUM(AQ9+AR9+AS9+AT9)</f>
        <v>0</v>
      </c>
      <c r="AR10" s="9"/>
      <c r="AS10" s="9"/>
      <c r="AT10" s="9"/>
      <c r="AU10" s="8">
        <f>SUM(AU9:AX9)</f>
        <v>0</v>
      </c>
      <c r="AV10" s="9"/>
      <c r="AW10" s="9"/>
      <c r="AX10" s="9"/>
      <c r="AY10" s="8">
        <f>SUM(AY9:BB9)</f>
        <v>0</v>
      </c>
      <c r="AZ10" s="9"/>
      <c r="BA10" s="9"/>
      <c r="BB10" s="9"/>
      <c r="BC10" s="8">
        <f>SUM(BC9:BF9)</f>
        <v>0</v>
      </c>
      <c r="BD10" s="9"/>
      <c r="BE10" s="9"/>
      <c r="BF10" s="9"/>
      <c r="BG10" s="8">
        <f>SUM(BG9:BJ9)</f>
        <v>0</v>
      </c>
      <c r="BH10" s="9"/>
      <c r="BI10" s="9"/>
      <c r="BJ10" s="9"/>
      <c r="BK10" s="8">
        <f>SUM(BK9:BN9)</f>
        <v>17</v>
      </c>
      <c r="BL10" s="9"/>
      <c r="BM10" s="9"/>
      <c r="BN10" s="9"/>
      <c r="BO10" s="8">
        <f>SUM(BO9:BR9)</f>
        <v>18</v>
      </c>
      <c r="BP10" s="9"/>
      <c r="BQ10" s="9"/>
      <c r="BR10" s="9"/>
      <c r="BS10" s="8">
        <f>SUM(BS9:BV9)</f>
        <v>0</v>
      </c>
      <c r="BT10" s="9"/>
      <c r="BU10" s="9"/>
      <c r="BV10" s="9"/>
    </row>
  </sheetData>
  <mergeCells count="27">
    <mergeCell ref="G1:J1"/>
    <mergeCell ref="K1:N1"/>
    <mergeCell ref="O1:R1"/>
    <mergeCell ref="BO1:BR1"/>
    <mergeCell ref="AQ1:AT1"/>
    <mergeCell ref="BS1:BV1"/>
    <mergeCell ref="A3:A8"/>
    <mergeCell ref="AU1:AX1"/>
    <mergeCell ref="AY1:BB1"/>
    <mergeCell ref="BG1:BJ1"/>
    <mergeCell ref="BK1:BN1"/>
    <mergeCell ref="S1:V1"/>
    <mergeCell ref="W1:Z1"/>
    <mergeCell ref="AA1:AD1"/>
    <mergeCell ref="AE1:AH1"/>
    <mergeCell ref="AI1:AL1"/>
    <mergeCell ref="AM1:AP1"/>
    <mergeCell ref="A1:A2"/>
    <mergeCell ref="B1:B2"/>
    <mergeCell ref="BC1:BF1"/>
    <mergeCell ref="C1:F1"/>
    <mergeCell ref="BS7:BV7"/>
    <mergeCell ref="BS8:BV8"/>
    <mergeCell ref="BT3:BV3"/>
    <mergeCell ref="BS4:BV4"/>
    <mergeCell ref="BS5:BV5"/>
    <mergeCell ref="BS6:BV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V14"/>
  <sheetViews>
    <sheetView topLeftCell="M1" zoomScale="93" zoomScaleNormal="93" workbookViewId="0">
      <selection activeCell="A3" sqref="A3:A12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243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34" t="s">
        <v>156</v>
      </c>
      <c r="B3" s="4" t="s">
        <v>205</v>
      </c>
      <c r="C3" s="43"/>
      <c r="D3" s="87">
        <v>544</v>
      </c>
      <c r="E3" s="43"/>
      <c r="F3" s="44"/>
      <c r="G3" s="43"/>
      <c r="H3" s="46"/>
      <c r="I3" s="45"/>
      <c r="J3" s="46"/>
      <c r="K3" s="43"/>
      <c r="L3" s="87">
        <v>477</v>
      </c>
      <c r="M3" s="43"/>
      <c r="N3" s="44"/>
      <c r="O3" s="43"/>
      <c r="P3" s="46"/>
      <c r="Q3" s="45"/>
      <c r="R3" s="46"/>
      <c r="S3" s="43"/>
      <c r="T3" s="87">
        <v>291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223</v>
      </c>
      <c r="AF3" s="46"/>
      <c r="AG3" s="47"/>
      <c r="AH3" s="46"/>
      <c r="AI3" s="43"/>
      <c r="AJ3" s="44"/>
      <c r="AK3" s="168">
        <v>0</v>
      </c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4">
        <v>1</v>
      </c>
      <c r="BE3" s="47"/>
      <c r="BF3" s="46"/>
      <c r="BG3" s="43"/>
      <c r="BH3" s="114">
        <v>1</v>
      </c>
      <c r="BI3" s="47"/>
      <c r="BJ3" s="77"/>
      <c r="BK3" s="86">
        <v>3</v>
      </c>
      <c r="BL3" s="87">
        <v>2</v>
      </c>
      <c r="BM3" s="45"/>
      <c r="BN3" s="80"/>
      <c r="BO3" s="86">
        <v>4</v>
      </c>
      <c r="BP3" s="87">
        <v>2</v>
      </c>
      <c r="BQ3" s="43"/>
      <c r="BR3" s="77"/>
      <c r="BS3" s="86">
        <v>1</v>
      </c>
      <c r="BT3" s="116">
        <v>1</v>
      </c>
      <c r="BU3" s="45"/>
      <c r="BV3" s="80"/>
    </row>
    <row r="4" spans="1:74" s="1" customFormat="1" ht="18.75" x14ac:dyDescent="0.25">
      <c r="A4" s="134"/>
      <c r="B4" s="4" t="s">
        <v>149</v>
      </c>
      <c r="C4" s="43"/>
      <c r="D4" s="87">
        <v>141</v>
      </c>
      <c r="E4" s="43"/>
      <c r="F4" s="44"/>
      <c r="G4" s="43"/>
      <c r="H4" s="46"/>
      <c r="I4" s="45"/>
      <c r="J4" s="46"/>
      <c r="K4" s="43"/>
      <c r="L4" s="87">
        <v>141</v>
      </c>
      <c r="M4" s="43"/>
      <c r="N4" s="44"/>
      <c r="O4" s="43"/>
      <c r="P4" s="46"/>
      <c r="Q4" s="45"/>
      <c r="R4" s="46"/>
      <c r="S4" s="43"/>
      <c r="T4" s="87">
        <v>70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194</v>
      </c>
      <c r="AF4" s="46"/>
      <c r="AG4" s="47"/>
      <c r="AH4" s="46"/>
      <c r="AI4" s="43"/>
      <c r="AJ4" s="44"/>
      <c r="AK4" s="168">
        <v>0</v>
      </c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4">
        <v>1</v>
      </c>
      <c r="BE4" s="47"/>
      <c r="BF4" s="46"/>
      <c r="BG4" s="43"/>
      <c r="BH4" s="114">
        <v>1</v>
      </c>
      <c r="BI4" s="47"/>
      <c r="BJ4" s="77"/>
      <c r="BK4" s="86">
        <v>3</v>
      </c>
      <c r="BL4" s="87">
        <v>2</v>
      </c>
      <c r="BM4" s="45"/>
      <c r="BN4" s="80"/>
      <c r="BO4" s="86">
        <v>3</v>
      </c>
      <c r="BP4" s="87">
        <v>2</v>
      </c>
      <c r="BQ4" s="45"/>
      <c r="BR4" s="77"/>
      <c r="BS4" s="86">
        <v>1</v>
      </c>
      <c r="BT4" s="169">
        <v>0</v>
      </c>
      <c r="BU4" s="45"/>
      <c r="BV4" s="41"/>
    </row>
    <row r="5" spans="1:74" s="1" customFormat="1" ht="18.75" x14ac:dyDescent="0.25">
      <c r="A5" s="134"/>
      <c r="B5" s="4" t="s">
        <v>150</v>
      </c>
      <c r="C5" s="43"/>
      <c r="D5" s="86">
        <v>208</v>
      </c>
      <c r="E5" s="43"/>
      <c r="F5" s="44"/>
      <c r="G5" s="43"/>
      <c r="H5" s="46"/>
      <c r="I5" s="45"/>
      <c r="J5" s="46"/>
      <c r="K5" s="43"/>
      <c r="L5" s="87">
        <v>101</v>
      </c>
      <c r="M5" s="43"/>
      <c r="N5" s="44"/>
      <c r="O5" s="43"/>
      <c r="P5" s="46"/>
      <c r="Q5" s="45"/>
      <c r="R5" s="46"/>
      <c r="S5" s="43"/>
      <c r="T5" s="87">
        <v>155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125</v>
      </c>
      <c r="AF5" s="46"/>
      <c r="AG5" s="47"/>
      <c r="AH5" s="46"/>
      <c r="AI5" s="43"/>
      <c r="AJ5" s="44"/>
      <c r="AK5" s="168">
        <v>0</v>
      </c>
      <c r="AL5" s="44"/>
      <c r="AM5" s="43"/>
      <c r="AN5" s="46"/>
      <c r="AO5" s="43"/>
      <c r="AP5" s="46"/>
      <c r="AQ5" s="43"/>
      <c r="AR5" s="44"/>
      <c r="AS5" s="45"/>
      <c r="AT5" s="79"/>
      <c r="AU5" s="43"/>
      <c r="AV5" s="46"/>
      <c r="AW5" s="47"/>
      <c r="AX5" s="46"/>
      <c r="AY5" s="43"/>
      <c r="AZ5" s="44"/>
      <c r="BA5" s="45"/>
      <c r="BB5" s="77"/>
      <c r="BC5" s="43"/>
      <c r="BD5" s="114">
        <v>1</v>
      </c>
      <c r="BE5" s="47"/>
      <c r="BF5" s="46"/>
      <c r="BG5" s="43"/>
      <c r="BH5" s="114">
        <v>1</v>
      </c>
      <c r="BI5" s="47"/>
      <c r="BJ5" s="77"/>
      <c r="BK5" s="86">
        <v>1</v>
      </c>
      <c r="BL5" s="87">
        <v>2</v>
      </c>
      <c r="BM5" s="43"/>
      <c r="BN5" s="80"/>
      <c r="BO5" s="43"/>
      <c r="BP5" s="87">
        <v>1</v>
      </c>
      <c r="BQ5" s="45"/>
      <c r="BR5" s="77"/>
      <c r="BS5" s="97"/>
      <c r="BT5" s="97"/>
      <c r="BU5" s="97"/>
      <c r="BV5" s="98"/>
    </row>
    <row r="6" spans="1:74" s="1" customFormat="1" ht="18.75" x14ac:dyDescent="0.25">
      <c r="A6" s="134"/>
      <c r="B6" s="4" t="s">
        <v>151</v>
      </c>
      <c r="C6" s="43"/>
      <c r="D6" s="87">
        <v>127</v>
      </c>
      <c r="E6" s="43"/>
      <c r="F6" s="44"/>
      <c r="G6" s="43"/>
      <c r="H6" s="46"/>
      <c r="I6" s="45"/>
      <c r="J6" s="46"/>
      <c r="K6" s="43"/>
      <c r="L6" s="87">
        <v>100</v>
      </c>
      <c r="M6" s="43"/>
      <c r="N6" s="44"/>
      <c r="O6" s="43"/>
      <c r="P6" s="46"/>
      <c r="Q6" s="45"/>
      <c r="R6" s="46"/>
      <c r="S6" s="43"/>
      <c r="T6" s="87">
        <v>50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198</v>
      </c>
      <c r="AF6" s="46"/>
      <c r="AG6" s="47"/>
      <c r="AH6" s="46"/>
      <c r="AI6" s="43"/>
      <c r="AJ6" s="44"/>
      <c r="AK6" s="27">
        <v>161</v>
      </c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14">
        <v>1</v>
      </c>
      <c r="BE6" s="47"/>
      <c r="BF6" s="46"/>
      <c r="BG6" s="43"/>
      <c r="BH6" s="114">
        <v>1</v>
      </c>
      <c r="BI6" s="47"/>
      <c r="BJ6" s="77"/>
      <c r="BK6" s="86">
        <v>1</v>
      </c>
      <c r="BL6" s="87">
        <v>3</v>
      </c>
      <c r="BM6" s="45"/>
      <c r="BN6" s="80"/>
      <c r="BO6" s="43"/>
      <c r="BP6" s="168">
        <v>0</v>
      </c>
      <c r="BQ6" s="45"/>
      <c r="BR6" s="77"/>
      <c r="BS6" s="97"/>
      <c r="BT6" s="98"/>
      <c r="BU6" s="99"/>
      <c r="BV6" s="98"/>
    </row>
    <row r="7" spans="1:74" s="1" customFormat="1" ht="18.75" x14ac:dyDescent="0.25">
      <c r="A7" s="134"/>
      <c r="B7" s="4" t="s">
        <v>111</v>
      </c>
      <c r="C7" s="43"/>
      <c r="D7" s="87">
        <v>125</v>
      </c>
      <c r="E7" s="43"/>
      <c r="F7" s="44"/>
      <c r="G7" s="43"/>
      <c r="H7" s="46"/>
      <c r="I7" s="45"/>
      <c r="J7" s="46"/>
      <c r="K7" s="43"/>
      <c r="L7" s="87">
        <v>100</v>
      </c>
      <c r="M7" s="43"/>
      <c r="N7" s="44"/>
      <c r="O7" s="43"/>
      <c r="P7" s="46"/>
      <c r="Q7" s="45"/>
      <c r="R7" s="46"/>
      <c r="S7" s="43"/>
      <c r="T7" s="87">
        <v>50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87">
        <v>300</v>
      </c>
      <c r="AF7" s="46"/>
      <c r="AG7" s="47"/>
      <c r="AH7" s="46"/>
      <c r="AI7" s="43"/>
      <c r="AJ7" s="44"/>
      <c r="AK7" s="27">
        <v>100</v>
      </c>
      <c r="AL7" s="44"/>
      <c r="AM7" s="43"/>
      <c r="AN7" s="46"/>
      <c r="AO7" s="43"/>
      <c r="AP7" s="46"/>
      <c r="AQ7" s="43"/>
      <c r="AR7" s="44"/>
      <c r="AS7" s="45"/>
      <c r="AT7" s="79"/>
      <c r="AU7" s="43"/>
      <c r="AV7" s="46"/>
      <c r="AW7" s="47"/>
      <c r="AX7" s="46"/>
      <c r="AY7" s="43"/>
      <c r="AZ7" s="44"/>
      <c r="BA7" s="45"/>
      <c r="BB7" s="77"/>
      <c r="BC7" s="43"/>
      <c r="BD7" s="114">
        <v>1</v>
      </c>
      <c r="BE7" s="47"/>
      <c r="BF7" s="46"/>
      <c r="BG7" s="43"/>
      <c r="BH7" s="114">
        <v>1</v>
      </c>
      <c r="BI7" s="47"/>
      <c r="BJ7" s="77"/>
      <c r="BK7" s="86">
        <v>2</v>
      </c>
      <c r="BL7" s="168">
        <v>0</v>
      </c>
      <c r="BM7" s="45"/>
      <c r="BN7" s="80"/>
      <c r="BO7" s="86">
        <v>2</v>
      </c>
      <c r="BP7" s="168">
        <v>0</v>
      </c>
      <c r="BQ7" s="45"/>
      <c r="BR7" s="77"/>
      <c r="BS7" s="43"/>
      <c r="BT7" s="169">
        <v>0</v>
      </c>
      <c r="BU7" s="45"/>
      <c r="BV7" s="41"/>
    </row>
    <row r="8" spans="1:74" s="1" customFormat="1" ht="18.75" x14ac:dyDescent="0.25">
      <c r="A8" s="134"/>
      <c r="B8" s="4" t="s">
        <v>112</v>
      </c>
      <c r="C8" s="43"/>
      <c r="D8" s="87">
        <v>126</v>
      </c>
      <c r="E8" s="43"/>
      <c r="F8" s="44"/>
      <c r="G8" s="43"/>
      <c r="H8" s="46"/>
      <c r="I8" s="45"/>
      <c r="J8" s="46"/>
      <c r="K8" s="43"/>
      <c r="L8" s="87">
        <v>103</v>
      </c>
      <c r="M8" s="43"/>
      <c r="N8" s="44"/>
      <c r="O8" s="43"/>
      <c r="P8" s="46"/>
      <c r="Q8" s="45"/>
      <c r="R8" s="46"/>
      <c r="S8" s="43"/>
      <c r="T8" s="87">
        <v>50</v>
      </c>
      <c r="U8" s="45"/>
      <c r="V8" s="44"/>
      <c r="W8" s="43"/>
      <c r="X8" s="46"/>
      <c r="Y8" s="43"/>
      <c r="Z8" s="46"/>
      <c r="AA8" s="43"/>
      <c r="AB8" s="44"/>
      <c r="AC8" s="45"/>
      <c r="AD8" s="44"/>
      <c r="AE8" s="87">
        <v>158</v>
      </c>
      <c r="AF8" s="46"/>
      <c r="AG8" s="47"/>
      <c r="AH8" s="46"/>
      <c r="AI8" s="43"/>
      <c r="AJ8" s="44"/>
      <c r="AK8" s="27">
        <v>158</v>
      </c>
      <c r="AL8" s="44"/>
      <c r="AM8" s="43"/>
      <c r="AN8" s="46"/>
      <c r="AO8" s="43"/>
      <c r="AP8" s="46"/>
      <c r="AQ8" s="43"/>
      <c r="AR8" s="44"/>
      <c r="AS8" s="45"/>
      <c r="AT8" s="77"/>
      <c r="AU8" s="43"/>
      <c r="AV8" s="46"/>
      <c r="AW8" s="47"/>
      <c r="AX8" s="46"/>
      <c r="AY8" s="43"/>
      <c r="AZ8" s="44"/>
      <c r="BA8" s="45"/>
      <c r="BB8" s="77"/>
      <c r="BC8" s="43"/>
      <c r="BD8" s="114">
        <v>1</v>
      </c>
      <c r="BE8" s="47"/>
      <c r="BF8" s="46"/>
      <c r="BG8" s="43"/>
      <c r="BH8" s="114">
        <v>1</v>
      </c>
      <c r="BI8" s="45"/>
      <c r="BJ8" s="77"/>
      <c r="BK8" s="86">
        <v>1</v>
      </c>
      <c r="BL8" s="87">
        <v>3</v>
      </c>
      <c r="BM8" s="45"/>
      <c r="BN8" s="80"/>
      <c r="BO8" s="86">
        <v>1</v>
      </c>
      <c r="BP8" s="87">
        <v>3</v>
      </c>
      <c r="BQ8" s="45"/>
      <c r="BR8" s="77"/>
      <c r="BS8" s="97"/>
      <c r="BT8" s="98"/>
      <c r="BU8" s="99"/>
      <c r="BV8" s="98"/>
    </row>
    <row r="9" spans="1:74" s="1" customFormat="1" ht="18.75" x14ac:dyDescent="0.25">
      <c r="A9" s="134"/>
      <c r="B9" s="4" t="s">
        <v>152</v>
      </c>
      <c r="C9" s="43"/>
      <c r="D9" s="87">
        <v>142</v>
      </c>
      <c r="E9" s="43"/>
      <c r="F9" s="44"/>
      <c r="G9" s="43"/>
      <c r="H9" s="46"/>
      <c r="I9" s="45"/>
      <c r="J9" s="46"/>
      <c r="K9" s="43"/>
      <c r="L9" s="87">
        <v>102</v>
      </c>
      <c r="M9" s="43"/>
      <c r="N9" s="44"/>
      <c r="O9" s="43"/>
      <c r="P9" s="46"/>
      <c r="Q9" s="45"/>
      <c r="R9" s="46"/>
      <c r="S9" s="43"/>
      <c r="T9" s="87">
        <v>95</v>
      </c>
      <c r="U9" s="45"/>
      <c r="V9" s="44"/>
      <c r="W9" s="43"/>
      <c r="X9" s="46"/>
      <c r="Y9" s="43"/>
      <c r="Z9" s="46"/>
      <c r="AA9" s="43"/>
      <c r="AB9" s="44"/>
      <c r="AC9" s="45"/>
      <c r="AD9" s="44"/>
      <c r="AE9" s="168"/>
      <c r="AF9" s="46"/>
      <c r="AG9" s="47"/>
      <c r="AH9" s="46"/>
      <c r="AI9" s="43"/>
      <c r="AJ9" s="44"/>
      <c r="AK9" s="168">
        <v>0</v>
      </c>
      <c r="AL9" s="44"/>
      <c r="AM9" s="43"/>
      <c r="AN9" s="46"/>
      <c r="AO9" s="43"/>
      <c r="AP9" s="46"/>
      <c r="AQ9" s="43"/>
      <c r="AR9" s="44"/>
      <c r="AS9" s="45"/>
      <c r="AT9" s="77"/>
      <c r="AU9" s="43"/>
      <c r="AV9" s="46"/>
      <c r="AW9" s="47"/>
      <c r="AX9" s="46"/>
      <c r="AY9" s="43"/>
      <c r="AZ9" s="44"/>
      <c r="BA9" s="45"/>
      <c r="BB9" s="77"/>
      <c r="BC9" s="43"/>
      <c r="BD9" s="114">
        <v>1</v>
      </c>
      <c r="BE9" s="47"/>
      <c r="BF9" s="46"/>
      <c r="BG9" s="43"/>
      <c r="BH9" s="114">
        <v>1</v>
      </c>
      <c r="BI9" s="43"/>
      <c r="BJ9" s="77"/>
      <c r="BK9" s="43"/>
      <c r="BL9" s="87">
        <v>2</v>
      </c>
      <c r="BM9" s="45"/>
      <c r="BN9" s="80"/>
      <c r="BO9" s="43"/>
      <c r="BP9" s="168">
        <v>0</v>
      </c>
      <c r="BQ9" s="45"/>
      <c r="BR9" s="77"/>
      <c r="BS9" s="97"/>
      <c r="BT9" s="99"/>
      <c r="BU9" s="99"/>
      <c r="BV9" s="99"/>
    </row>
    <row r="10" spans="1:74" s="1" customFormat="1" ht="18.75" x14ac:dyDescent="0.25">
      <c r="A10" s="134"/>
      <c r="B10" s="4" t="s">
        <v>153</v>
      </c>
      <c r="C10" s="43"/>
      <c r="D10" s="87">
        <v>130</v>
      </c>
      <c r="E10" s="43"/>
      <c r="F10" s="44"/>
      <c r="G10" s="43"/>
      <c r="H10" s="46"/>
      <c r="I10" s="45"/>
      <c r="J10" s="46"/>
      <c r="K10" s="43"/>
      <c r="L10" s="87">
        <v>114</v>
      </c>
      <c r="M10" s="43"/>
      <c r="N10" s="44"/>
      <c r="O10" s="43"/>
      <c r="P10" s="46"/>
      <c r="Q10" s="45"/>
      <c r="R10" s="46"/>
      <c r="S10" s="43"/>
      <c r="T10" s="87">
        <v>57</v>
      </c>
      <c r="U10" s="45"/>
      <c r="V10" s="44"/>
      <c r="W10" s="43"/>
      <c r="X10" s="46"/>
      <c r="Y10" s="43"/>
      <c r="Z10" s="46"/>
      <c r="AA10" s="43"/>
      <c r="AB10" s="44"/>
      <c r="AC10" s="45"/>
      <c r="AD10" s="44"/>
      <c r="AE10" s="87">
        <v>2273</v>
      </c>
      <c r="AF10" s="46"/>
      <c r="AG10" s="47"/>
      <c r="AH10" s="46"/>
      <c r="AI10" s="43"/>
      <c r="AJ10" s="44"/>
      <c r="AK10" s="27">
        <v>2196</v>
      </c>
      <c r="AL10" s="44"/>
      <c r="AM10" s="43"/>
      <c r="AN10" s="46"/>
      <c r="AO10" s="43"/>
      <c r="AP10" s="46"/>
      <c r="AQ10" s="43"/>
      <c r="AR10" s="44"/>
      <c r="AS10" s="45"/>
      <c r="AT10" s="77"/>
      <c r="AU10" s="43"/>
      <c r="AV10" s="46"/>
      <c r="AW10" s="47"/>
      <c r="AX10" s="46"/>
      <c r="AY10" s="43"/>
      <c r="AZ10" s="44"/>
      <c r="BA10" s="45"/>
      <c r="BB10" s="77"/>
      <c r="BC10" s="43"/>
      <c r="BD10" s="114">
        <v>1</v>
      </c>
      <c r="BE10" s="47"/>
      <c r="BF10" s="46"/>
      <c r="BG10" s="43"/>
      <c r="BH10" s="114">
        <v>1</v>
      </c>
      <c r="BI10" s="43"/>
      <c r="BJ10" s="77"/>
      <c r="BK10" s="86">
        <v>2</v>
      </c>
      <c r="BL10" s="87">
        <v>3</v>
      </c>
      <c r="BM10" s="45"/>
      <c r="BN10" s="80"/>
      <c r="BO10" s="86">
        <v>1</v>
      </c>
      <c r="BP10" s="87">
        <v>3</v>
      </c>
      <c r="BQ10" s="45"/>
      <c r="BR10" s="77"/>
      <c r="BS10" s="97"/>
      <c r="BT10" s="99"/>
      <c r="BU10" s="99"/>
      <c r="BV10" s="99"/>
    </row>
    <row r="11" spans="1:74" s="1" customFormat="1" ht="18.75" x14ac:dyDescent="0.25">
      <c r="A11" s="134"/>
      <c r="B11" s="4" t="s">
        <v>154</v>
      </c>
      <c r="C11" s="43"/>
      <c r="D11" s="87">
        <v>125</v>
      </c>
      <c r="E11" s="43"/>
      <c r="F11" s="44"/>
      <c r="G11" s="43"/>
      <c r="H11" s="46"/>
      <c r="I11" s="45"/>
      <c r="J11" s="46"/>
      <c r="K11" s="43"/>
      <c r="L11" s="87">
        <v>119</v>
      </c>
      <c r="M11" s="43"/>
      <c r="N11" s="44"/>
      <c r="O11" s="43"/>
      <c r="P11" s="46"/>
      <c r="Q11" s="45"/>
      <c r="R11" s="46"/>
      <c r="S11" s="43"/>
      <c r="T11" s="87">
        <v>54</v>
      </c>
      <c r="U11" s="45"/>
      <c r="V11" s="44"/>
      <c r="W11" s="43"/>
      <c r="X11" s="46"/>
      <c r="Y11" s="43"/>
      <c r="Z11" s="46"/>
      <c r="AA11" s="43"/>
      <c r="AB11" s="44"/>
      <c r="AC11" s="45"/>
      <c r="AD11" s="44"/>
      <c r="AE11" s="87">
        <v>394</v>
      </c>
      <c r="AF11" s="46"/>
      <c r="AG11" s="47"/>
      <c r="AH11" s="46"/>
      <c r="AI11" s="43"/>
      <c r="AJ11" s="44"/>
      <c r="AK11" s="27">
        <v>394</v>
      </c>
      <c r="AL11" s="44"/>
      <c r="AM11" s="43"/>
      <c r="AN11" s="46"/>
      <c r="AO11" s="43"/>
      <c r="AP11" s="46"/>
      <c r="AQ11" s="43"/>
      <c r="AR11" s="44"/>
      <c r="AS11" s="45"/>
      <c r="AT11" s="77"/>
      <c r="AU11" s="43"/>
      <c r="AV11" s="46"/>
      <c r="AW11" s="47"/>
      <c r="AX11" s="46"/>
      <c r="AY11" s="43"/>
      <c r="AZ11" s="44"/>
      <c r="BA11" s="45"/>
      <c r="BB11" s="78"/>
      <c r="BC11" s="43"/>
      <c r="BD11" s="114">
        <v>1</v>
      </c>
      <c r="BE11" s="47"/>
      <c r="BF11" s="46"/>
      <c r="BG11" s="43"/>
      <c r="BH11" s="114">
        <v>1</v>
      </c>
      <c r="BI11" s="45"/>
      <c r="BJ11" s="77"/>
      <c r="BK11" s="86">
        <v>1</v>
      </c>
      <c r="BL11" s="87">
        <v>2</v>
      </c>
      <c r="BM11" s="45"/>
      <c r="BN11" s="80"/>
      <c r="BO11" s="43"/>
      <c r="BP11" s="87">
        <v>1</v>
      </c>
      <c r="BQ11" s="45"/>
      <c r="BR11" s="77"/>
      <c r="BS11" s="97"/>
      <c r="BT11" s="98"/>
      <c r="BU11" s="99"/>
      <c r="BV11" s="98"/>
    </row>
    <row r="12" spans="1:74" s="1" customFormat="1" ht="18.75" x14ac:dyDescent="0.25">
      <c r="A12" s="135"/>
      <c r="B12" s="73" t="s">
        <v>155</v>
      </c>
      <c r="C12" s="40"/>
      <c r="D12" s="87">
        <v>126</v>
      </c>
      <c r="E12" s="43"/>
      <c r="F12" s="44"/>
      <c r="G12" s="43"/>
      <c r="H12" s="46"/>
      <c r="I12" s="45"/>
      <c r="J12" s="46"/>
      <c r="K12" s="43"/>
      <c r="L12" s="87">
        <v>105</v>
      </c>
      <c r="M12" s="43"/>
      <c r="N12" s="44"/>
      <c r="O12" s="43"/>
      <c r="P12" s="46"/>
      <c r="Q12" s="45"/>
      <c r="R12" s="46"/>
      <c r="S12" s="43"/>
      <c r="T12" s="87">
        <v>51</v>
      </c>
      <c r="U12" s="45"/>
      <c r="V12" s="44"/>
      <c r="W12" s="43"/>
      <c r="X12" s="46"/>
      <c r="Y12" s="43"/>
      <c r="Z12" s="46"/>
      <c r="AA12" s="43"/>
      <c r="AB12" s="44"/>
      <c r="AC12" s="45"/>
      <c r="AD12" s="44"/>
      <c r="AE12" s="87">
        <v>277</v>
      </c>
      <c r="AF12" s="46"/>
      <c r="AG12" s="47"/>
      <c r="AH12" s="46"/>
      <c r="AI12" s="43"/>
      <c r="AJ12" s="44"/>
      <c r="AK12" s="168">
        <v>0</v>
      </c>
      <c r="AL12" s="44"/>
      <c r="AM12" s="43"/>
      <c r="AN12" s="46"/>
      <c r="AO12" s="43"/>
      <c r="AP12" s="46"/>
      <c r="AQ12" s="43"/>
      <c r="AR12" s="44"/>
      <c r="AS12" s="45"/>
      <c r="AT12" s="77"/>
      <c r="AU12" s="43"/>
      <c r="AV12" s="46"/>
      <c r="AW12" s="47"/>
      <c r="AX12" s="46"/>
      <c r="AY12" s="43"/>
      <c r="AZ12" s="44"/>
      <c r="BA12" s="45"/>
      <c r="BB12" s="77"/>
      <c r="BC12" s="43"/>
      <c r="BD12" s="114">
        <v>1</v>
      </c>
      <c r="BE12" s="47"/>
      <c r="BF12" s="46"/>
      <c r="BG12" s="43"/>
      <c r="BH12" s="114">
        <v>1</v>
      </c>
      <c r="BI12" s="43"/>
      <c r="BJ12" s="77"/>
      <c r="BK12" s="69"/>
      <c r="BL12" s="71"/>
      <c r="BM12" s="71"/>
      <c r="BN12" s="71"/>
      <c r="BO12" s="86">
        <v>3</v>
      </c>
      <c r="BP12" s="87">
        <v>2</v>
      </c>
      <c r="BQ12" s="45"/>
      <c r="BR12" s="77"/>
      <c r="BS12" s="97"/>
      <c r="BT12" s="98"/>
      <c r="BU12" s="99"/>
      <c r="BV12" s="98"/>
    </row>
    <row r="13" spans="1:74" s="6" customFormat="1" ht="19.5" x14ac:dyDescent="0.3">
      <c r="C13" s="27">
        <f>SUM(C3:C12)</f>
        <v>0</v>
      </c>
      <c r="D13" s="27">
        <f t="shared" ref="D13:F13" si="0">SUM(D3:D12)</f>
        <v>1794</v>
      </c>
      <c r="E13" s="27">
        <f t="shared" si="0"/>
        <v>0</v>
      </c>
      <c r="F13" s="27">
        <f t="shared" si="0"/>
        <v>0</v>
      </c>
      <c r="G13" s="27">
        <f>SUM(G3:G12)</f>
        <v>0</v>
      </c>
      <c r="H13" s="27">
        <f t="shared" ref="H13:BS13" si="1">SUM(H3:H12)</f>
        <v>0</v>
      </c>
      <c r="I13" s="27">
        <f t="shared" si="1"/>
        <v>0</v>
      </c>
      <c r="J13" s="27">
        <f t="shared" si="1"/>
        <v>0</v>
      </c>
      <c r="K13" s="27">
        <f t="shared" si="1"/>
        <v>0</v>
      </c>
      <c r="L13" s="27">
        <f t="shared" si="1"/>
        <v>1462</v>
      </c>
      <c r="M13" s="27">
        <f t="shared" si="1"/>
        <v>0</v>
      </c>
      <c r="N13" s="27">
        <f t="shared" si="1"/>
        <v>0</v>
      </c>
      <c r="O13" s="27">
        <f t="shared" si="1"/>
        <v>0</v>
      </c>
      <c r="P13" s="27">
        <f t="shared" si="1"/>
        <v>0</v>
      </c>
      <c r="Q13" s="27">
        <f t="shared" si="1"/>
        <v>0</v>
      </c>
      <c r="R13" s="27">
        <f t="shared" si="1"/>
        <v>0</v>
      </c>
      <c r="S13" s="27">
        <f t="shared" si="1"/>
        <v>0</v>
      </c>
      <c r="T13" s="27">
        <f t="shared" si="1"/>
        <v>923</v>
      </c>
      <c r="U13" s="27">
        <f t="shared" si="1"/>
        <v>0</v>
      </c>
      <c r="V13" s="27">
        <f t="shared" si="1"/>
        <v>0</v>
      </c>
      <c r="W13" s="27">
        <f t="shared" si="1"/>
        <v>0</v>
      </c>
      <c r="X13" s="27">
        <f t="shared" si="1"/>
        <v>0</v>
      </c>
      <c r="Y13" s="27">
        <f t="shared" si="1"/>
        <v>0</v>
      </c>
      <c r="Z13" s="27">
        <f t="shared" si="1"/>
        <v>0</v>
      </c>
      <c r="AA13" s="27">
        <f t="shared" si="1"/>
        <v>0</v>
      </c>
      <c r="AB13" s="27">
        <f t="shared" si="1"/>
        <v>0</v>
      </c>
      <c r="AC13" s="27">
        <f t="shared" si="1"/>
        <v>0</v>
      </c>
      <c r="AD13" s="27">
        <f t="shared" si="1"/>
        <v>0</v>
      </c>
      <c r="AE13" s="27">
        <f t="shared" si="1"/>
        <v>4142</v>
      </c>
      <c r="AF13" s="27">
        <f t="shared" si="1"/>
        <v>0</v>
      </c>
      <c r="AG13" s="27">
        <f t="shared" si="1"/>
        <v>0</v>
      </c>
      <c r="AH13" s="27">
        <f t="shared" si="1"/>
        <v>0</v>
      </c>
      <c r="AI13" s="27">
        <f t="shared" si="1"/>
        <v>0</v>
      </c>
      <c r="AJ13" s="27">
        <f t="shared" si="1"/>
        <v>0</v>
      </c>
      <c r="AK13" s="27">
        <f t="shared" si="1"/>
        <v>3009</v>
      </c>
      <c r="AL13" s="27">
        <f t="shared" si="1"/>
        <v>0</v>
      </c>
      <c r="AM13" s="27">
        <f t="shared" si="1"/>
        <v>0</v>
      </c>
      <c r="AN13" s="27">
        <f t="shared" si="1"/>
        <v>0</v>
      </c>
      <c r="AO13" s="27">
        <f t="shared" si="1"/>
        <v>0</v>
      </c>
      <c r="AP13" s="27">
        <f t="shared" si="1"/>
        <v>0</v>
      </c>
      <c r="AQ13" s="27">
        <f t="shared" si="1"/>
        <v>0</v>
      </c>
      <c r="AR13" s="27">
        <f t="shared" si="1"/>
        <v>0</v>
      </c>
      <c r="AS13" s="27">
        <f t="shared" si="1"/>
        <v>0</v>
      </c>
      <c r="AT13" s="27">
        <f t="shared" si="1"/>
        <v>0</v>
      </c>
      <c r="AU13" s="27">
        <f t="shared" si="1"/>
        <v>0</v>
      </c>
      <c r="AV13" s="27">
        <f t="shared" si="1"/>
        <v>0</v>
      </c>
      <c r="AW13" s="27">
        <f t="shared" si="1"/>
        <v>0</v>
      </c>
      <c r="AX13" s="27">
        <f t="shared" si="1"/>
        <v>0</v>
      </c>
      <c r="AY13" s="27">
        <f t="shared" si="1"/>
        <v>0</v>
      </c>
      <c r="AZ13" s="27">
        <f t="shared" si="1"/>
        <v>0</v>
      </c>
      <c r="BA13" s="27">
        <f t="shared" si="1"/>
        <v>0</v>
      </c>
      <c r="BB13" s="27">
        <f t="shared" si="1"/>
        <v>0</v>
      </c>
      <c r="BC13" s="27"/>
      <c r="BD13" s="126">
        <v>1</v>
      </c>
      <c r="BE13" s="27"/>
      <c r="BF13" s="27"/>
      <c r="BG13" s="27"/>
      <c r="BH13" s="126">
        <v>1</v>
      </c>
      <c r="BI13" s="27"/>
      <c r="BJ13" s="27"/>
      <c r="BK13" s="27">
        <f t="shared" si="1"/>
        <v>14</v>
      </c>
      <c r="BL13" s="27">
        <f t="shared" si="1"/>
        <v>19</v>
      </c>
      <c r="BM13" s="27">
        <f t="shared" si="1"/>
        <v>0</v>
      </c>
      <c r="BN13" s="27">
        <f t="shared" si="1"/>
        <v>0</v>
      </c>
      <c r="BO13" s="27">
        <f t="shared" si="1"/>
        <v>14</v>
      </c>
      <c r="BP13" s="27">
        <f t="shared" si="1"/>
        <v>14</v>
      </c>
      <c r="BQ13" s="27">
        <f t="shared" si="1"/>
        <v>0</v>
      </c>
      <c r="BR13" s="27">
        <f t="shared" si="1"/>
        <v>0</v>
      </c>
      <c r="BS13" s="27">
        <f t="shared" si="1"/>
        <v>2</v>
      </c>
      <c r="BT13" s="27">
        <f t="shared" ref="BT13" si="2">SUM(BT3:BT12)</f>
        <v>1</v>
      </c>
      <c r="BU13" s="27">
        <f>SUM(BU3:BU12)</f>
        <v>0</v>
      </c>
      <c r="BV13" s="27">
        <f>SUM(BV3:BV12)</f>
        <v>0</v>
      </c>
    </row>
    <row r="14" spans="1:74" s="7" customFormat="1" ht="21" x14ac:dyDescent="0.35">
      <c r="B14" s="8" t="s">
        <v>7</v>
      </c>
      <c r="C14" s="8">
        <f>SUM(C13+D13+E13+F13)</f>
        <v>1794</v>
      </c>
      <c r="D14" s="9"/>
      <c r="E14" s="9"/>
      <c r="F14" s="9"/>
      <c r="G14" s="8">
        <f>SUM(G13+H13+I13+J13)</f>
        <v>0</v>
      </c>
      <c r="H14" s="9"/>
      <c r="I14" s="9"/>
      <c r="J14" s="9"/>
      <c r="K14" s="8">
        <f>SUM(K13+L13+M13+N13)</f>
        <v>1462</v>
      </c>
      <c r="L14" s="9"/>
      <c r="M14" s="9"/>
      <c r="N14" s="9"/>
      <c r="O14" s="8">
        <f>SUM(O13+P13+Q13+R13)</f>
        <v>0</v>
      </c>
      <c r="P14" s="9"/>
      <c r="Q14" s="9"/>
      <c r="R14" s="9"/>
      <c r="S14" s="8">
        <f>SUM(S13+T13+U13+V13)</f>
        <v>923</v>
      </c>
      <c r="T14" s="9"/>
      <c r="U14" s="9"/>
      <c r="V14" s="9"/>
      <c r="W14" s="8">
        <f>SUM(W13+X13+Y13+Z13)</f>
        <v>0</v>
      </c>
      <c r="X14" s="9"/>
      <c r="Y14" s="9"/>
      <c r="Z14" s="9"/>
      <c r="AA14" s="8">
        <f>SUM(AA13+AB13+AC13+AD13)</f>
        <v>0</v>
      </c>
      <c r="AB14" s="9"/>
      <c r="AC14" s="9"/>
      <c r="AD14" s="9"/>
      <c r="AE14" s="8">
        <f>SUM(AE13:AH13)</f>
        <v>4142</v>
      </c>
      <c r="AF14" s="9"/>
      <c r="AG14" s="9"/>
      <c r="AH14" s="9"/>
      <c r="AI14" s="8">
        <f>SUM(AI13+AJ13+AK13+AL13)</f>
        <v>3009</v>
      </c>
      <c r="AJ14" s="9"/>
      <c r="AK14" s="9"/>
      <c r="AL14" s="9"/>
      <c r="AM14" s="8">
        <f>SUM(AM13+AN13+AO13+AP13)</f>
        <v>0</v>
      </c>
      <c r="AN14" s="9"/>
      <c r="AO14" s="9"/>
      <c r="AP14" s="9"/>
      <c r="AQ14" s="8">
        <f>SUM(AQ13+AR13+AS13+AT13)</f>
        <v>0</v>
      </c>
      <c r="AR14" s="9"/>
      <c r="AS14" s="9"/>
      <c r="AT14" s="9"/>
      <c r="AU14" s="8">
        <f>SUM(AU13:AX13)</f>
        <v>0</v>
      </c>
      <c r="AV14" s="9"/>
      <c r="AW14" s="9"/>
      <c r="AX14" s="9"/>
      <c r="AY14" s="8">
        <f>SUM(AY13:BB13)</f>
        <v>0</v>
      </c>
      <c r="AZ14" s="9"/>
      <c r="BA14" s="9"/>
      <c r="BB14" s="9"/>
      <c r="BC14" s="126">
        <v>1</v>
      </c>
      <c r="BD14" s="9"/>
      <c r="BE14" s="9"/>
      <c r="BF14" s="9"/>
      <c r="BG14" s="126">
        <v>1</v>
      </c>
      <c r="BH14" s="9"/>
      <c r="BI14" s="9"/>
      <c r="BJ14" s="9"/>
      <c r="BK14" s="8">
        <f>SUM(BK13:BN13)</f>
        <v>33</v>
      </c>
      <c r="BL14" s="9"/>
      <c r="BM14" s="9"/>
      <c r="BN14" s="9"/>
      <c r="BO14" s="8">
        <f>SUM(BO13:BR13)</f>
        <v>28</v>
      </c>
      <c r="BP14" s="9"/>
      <c r="BQ14" s="9"/>
      <c r="BR14" s="9"/>
      <c r="BS14" s="8">
        <f>SUM(BS13:BV13)</f>
        <v>3</v>
      </c>
      <c r="BT14" s="9"/>
      <c r="BU14" s="9"/>
      <c r="BV14" s="9"/>
    </row>
  </sheetData>
  <mergeCells count="21">
    <mergeCell ref="K1:N1"/>
    <mergeCell ref="O1:R1"/>
    <mergeCell ref="BG1:BJ1"/>
    <mergeCell ref="BK1:BN1"/>
    <mergeCell ref="AQ1:AT1"/>
    <mergeCell ref="BO1:BR1"/>
    <mergeCell ref="BS1:BV1"/>
    <mergeCell ref="A3:A12"/>
    <mergeCell ref="AU1:AX1"/>
    <mergeCell ref="AY1:BB1"/>
    <mergeCell ref="BC1:BF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16"/>
  <sheetViews>
    <sheetView zoomScale="98" zoomScaleNormal="98" workbookViewId="0">
      <selection activeCell="B13" sqref="B13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99</v>
      </c>
      <c r="D1" s="154"/>
      <c r="E1" s="154"/>
      <c r="F1" s="155"/>
      <c r="G1" s="139" t="s">
        <v>101</v>
      </c>
      <c r="H1" s="140"/>
      <c r="I1" s="140"/>
      <c r="J1" s="141"/>
      <c r="K1" s="136" t="s">
        <v>100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236</v>
      </c>
      <c r="B3" s="73" t="s">
        <v>242</v>
      </c>
      <c r="C3" s="42"/>
      <c r="D3" s="119">
        <v>125</v>
      </c>
      <c r="E3" s="42"/>
      <c r="F3" s="55"/>
      <c r="G3" s="42"/>
      <c r="H3" s="56"/>
      <c r="I3" s="56"/>
      <c r="J3" s="56"/>
      <c r="K3" s="42"/>
      <c r="L3" s="119">
        <v>100</v>
      </c>
      <c r="M3" s="42"/>
      <c r="N3" s="55"/>
      <c r="O3" s="42"/>
      <c r="P3" s="56"/>
      <c r="Q3" s="56"/>
      <c r="R3" s="56"/>
      <c r="S3" s="42"/>
      <c r="T3" s="119">
        <v>50</v>
      </c>
      <c r="U3" s="55"/>
      <c r="V3" s="55"/>
      <c r="W3" s="42"/>
      <c r="X3" s="56"/>
      <c r="Y3" s="42"/>
      <c r="Z3" s="56"/>
      <c r="AA3" s="42"/>
      <c r="AB3" s="55"/>
      <c r="AC3" s="55"/>
      <c r="AD3" s="55"/>
      <c r="AE3" s="56"/>
      <c r="AF3" s="56"/>
      <c r="AG3" s="56"/>
      <c r="AH3" s="56"/>
      <c r="AI3" s="42"/>
      <c r="AJ3" s="119">
        <v>500</v>
      </c>
      <c r="AK3" s="55"/>
      <c r="AL3" s="55"/>
      <c r="AM3" s="42"/>
      <c r="AN3" s="56"/>
      <c r="AO3" s="56"/>
      <c r="AP3" s="56"/>
      <c r="AQ3" s="42"/>
      <c r="AR3" s="55"/>
      <c r="AS3" s="55"/>
      <c r="AT3" s="55"/>
      <c r="AU3" s="42"/>
      <c r="AV3" s="56"/>
      <c r="AW3" s="56"/>
      <c r="AX3" s="56"/>
      <c r="AY3" s="42"/>
      <c r="AZ3" s="55"/>
      <c r="BA3" s="55"/>
      <c r="BB3" s="55"/>
      <c r="BC3" s="43"/>
      <c r="BD3" s="120">
        <v>1</v>
      </c>
      <c r="BE3" s="47"/>
      <c r="BF3" s="56"/>
      <c r="BG3" s="43"/>
      <c r="BH3" s="120">
        <v>1</v>
      </c>
      <c r="BI3" s="47"/>
      <c r="BJ3" s="77"/>
      <c r="BK3" s="87">
        <v>2</v>
      </c>
      <c r="BL3" s="119">
        <v>2</v>
      </c>
      <c r="BM3" s="45"/>
      <c r="BN3" s="80"/>
      <c r="BO3" s="87">
        <v>1</v>
      </c>
      <c r="BP3" s="119">
        <v>2</v>
      </c>
      <c r="BQ3" s="43"/>
      <c r="BR3" s="77"/>
      <c r="BS3" s="87">
        <v>1</v>
      </c>
      <c r="BT3" s="122">
        <v>1</v>
      </c>
      <c r="BU3" s="45"/>
      <c r="BV3" s="41"/>
    </row>
    <row r="4" spans="1:74" s="1" customFormat="1" ht="18.75" x14ac:dyDescent="0.25">
      <c r="A4" s="165"/>
      <c r="B4" s="73" t="s">
        <v>157</v>
      </c>
      <c r="C4" s="43"/>
      <c r="D4" s="119">
        <v>125</v>
      </c>
      <c r="E4" s="43"/>
      <c r="F4" s="44"/>
      <c r="G4" s="43"/>
      <c r="H4" s="46"/>
      <c r="I4" s="45"/>
      <c r="J4" s="46"/>
      <c r="K4" s="43"/>
      <c r="L4" s="119">
        <v>116</v>
      </c>
      <c r="M4" s="43"/>
      <c r="N4" s="44"/>
      <c r="O4" s="43"/>
      <c r="P4" s="46"/>
      <c r="Q4" s="45"/>
      <c r="R4" s="46"/>
      <c r="S4" s="43"/>
      <c r="T4" s="119">
        <v>50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345</v>
      </c>
      <c r="AF4" s="56">
        <v>45</v>
      </c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20">
        <v>1</v>
      </c>
      <c r="BE4" s="47"/>
      <c r="BF4" s="46"/>
      <c r="BG4" s="43"/>
      <c r="BH4" s="120">
        <v>1</v>
      </c>
      <c r="BI4" s="47"/>
      <c r="BJ4" s="77"/>
      <c r="BK4" s="86">
        <v>2</v>
      </c>
      <c r="BL4" s="119">
        <v>3</v>
      </c>
      <c r="BM4" s="45"/>
      <c r="BN4" s="80"/>
      <c r="BO4" s="43"/>
      <c r="BP4" s="119">
        <v>2</v>
      </c>
      <c r="BQ4" s="43"/>
      <c r="BR4" s="77"/>
      <c r="BS4" s="88">
        <v>1</v>
      </c>
      <c r="BT4" s="122">
        <v>1</v>
      </c>
      <c r="BU4" s="45"/>
      <c r="BV4" s="80"/>
    </row>
    <row r="5" spans="1:74" s="1" customFormat="1" ht="18.75" x14ac:dyDescent="0.25">
      <c r="A5" s="165"/>
      <c r="B5" s="73" t="s">
        <v>158</v>
      </c>
      <c r="C5" s="43"/>
      <c r="D5" s="119">
        <v>127</v>
      </c>
      <c r="E5" s="43"/>
      <c r="F5" s="44"/>
      <c r="G5" s="43"/>
      <c r="H5" s="46"/>
      <c r="I5" s="45"/>
      <c r="J5" s="46"/>
      <c r="K5" s="43"/>
      <c r="L5" s="119">
        <v>101</v>
      </c>
      <c r="M5" s="43"/>
      <c r="N5" s="44"/>
      <c r="O5" s="43"/>
      <c r="P5" s="46"/>
      <c r="Q5" s="45"/>
      <c r="R5" s="46"/>
      <c r="S5" s="43"/>
      <c r="T5" s="119">
        <v>52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242</v>
      </c>
      <c r="AF5" s="46"/>
      <c r="AG5" s="47"/>
      <c r="AH5" s="46"/>
      <c r="AI5" s="43"/>
      <c r="AJ5" s="119">
        <v>223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20">
        <v>1</v>
      </c>
      <c r="BE5" s="47"/>
      <c r="BF5" s="46"/>
      <c r="BG5" s="43"/>
      <c r="BH5" s="120">
        <v>1</v>
      </c>
      <c r="BI5" s="47"/>
      <c r="BJ5" s="77"/>
      <c r="BK5" s="86">
        <v>1</v>
      </c>
      <c r="BL5" s="119">
        <v>2</v>
      </c>
      <c r="BM5" s="45"/>
      <c r="BN5" s="80"/>
      <c r="BO5" s="86">
        <v>2</v>
      </c>
      <c r="BP5" s="119">
        <v>1</v>
      </c>
      <c r="BQ5" s="45"/>
      <c r="BR5" s="77"/>
      <c r="BS5" s="69"/>
      <c r="BT5" s="69"/>
      <c r="BU5" s="69"/>
      <c r="BV5" s="69"/>
    </row>
    <row r="6" spans="1:74" s="1" customFormat="1" ht="18.75" x14ac:dyDescent="0.25">
      <c r="A6" s="165"/>
      <c r="B6" s="73" t="s">
        <v>159</v>
      </c>
      <c r="C6" s="43"/>
      <c r="D6" s="118">
        <v>125</v>
      </c>
      <c r="E6" s="43"/>
      <c r="F6" s="44"/>
      <c r="G6" s="43"/>
      <c r="H6" s="46"/>
      <c r="I6" s="45"/>
      <c r="J6" s="46"/>
      <c r="K6" s="43"/>
      <c r="L6" s="119">
        <v>100</v>
      </c>
      <c r="M6" s="43"/>
      <c r="N6" s="44"/>
      <c r="O6" s="43"/>
      <c r="P6" s="46"/>
      <c r="Q6" s="45"/>
      <c r="R6" s="46"/>
      <c r="S6" s="43"/>
      <c r="T6" s="119">
        <v>93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433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9"/>
      <c r="AU6" s="43"/>
      <c r="AV6" s="46"/>
      <c r="AW6" s="47"/>
      <c r="AX6" s="46"/>
      <c r="AY6" s="43"/>
      <c r="AZ6" s="44"/>
      <c r="BA6" s="45"/>
      <c r="BB6" s="77"/>
      <c r="BC6" s="43"/>
      <c r="BD6" s="120">
        <v>1</v>
      </c>
      <c r="BE6" s="47"/>
      <c r="BF6" s="46"/>
      <c r="BG6" s="43"/>
      <c r="BH6" s="120">
        <v>1</v>
      </c>
      <c r="BI6" s="47"/>
      <c r="BJ6" s="77"/>
      <c r="BK6" s="43"/>
      <c r="BL6" s="168">
        <v>0</v>
      </c>
      <c r="BM6" s="43"/>
      <c r="BN6" s="80"/>
      <c r="BO6" s="43"/>
      <c r="BP6" s="168">
        <v>0</v>
      </c>
      <c r="BQ6" s="45"/>
      <c r="BR6" s="77"/>
      <c r="BS6" s="69"/>
      <c r="BT6" s="69"/>
      <c r="BU6" s="69"/>
      <c r="BV6" s="69"/>
    </row>
    <row r="7" spans="1:74" s="1" customFormat="1" ht="18.75" x14ac:dyDescent="0.25">
      <c r="A7" s="165"/>
      <c r="B7" s="73" t="s">
        <v>160</v>
      </c>
      <c r="C7" s="43"/>
      <c r="D7" s="119">
        <v>140</v>
      </c>
      <c r="E7" s="43"/>
      <c r="F7" s="44"/>
      <c r="G7" s="43"/>
      <c r="H7" s="46"/>
      <c r="I7" s="45"/>
      <c r="J7" s="46"/>
      <c r="K7" s="43"/>
      <c r="L7" s="119">
        <v>100</v>
      </c>
      <c r="M7" s="43"/>
      <c r="N7" s="44"/>
      <c r="O7" s="43"/>
      <c r="P7" s="46"/>
      <c r="Q7" s="45"/>
      <c r="R7" s="46"/>
      <c r="S7" s="43"/>
      <c r="T7" s="119">
        <v>59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168"/>
      <c r="AF7" s="46"/>
      <c r="AG7" s="47"/>
      <c r="AH7" s="46"/>
      <c r="AI7" s="43"/>
      <c r="AJ7" s="168">
        <v>0</v>
      </c>
      <c r="AK7" s="45"/>
      <c r="AL7" s="44"/>
      <c r="AM7" s="43"/>
      <c r="AN7" s="46"/>
      <c r="AO7" s="43"/>
      <c r="AP7" s="46"/>
      <c r="AQ7" s="43"/>
      <c r="AR7" s="44"/>
      <c r="AS7" s="45"/>
      <c r="AT7" s="77"/>
      <c r="AU7" s="43"/>
      <c r="AV7" s="46"/>
      <c r="AW7" s="47"/>
      <c r="AX7" s="46"/>
      <c r="AY7" s="43"/>
      <c r="AZ7" s="44"/>
      <c r="BA7" s="45"/>
      <c r="BB7" s="77"/>
      <c r="BC7" s="43"/>
      <c r="BD7" s="120">
        <v>1</v>
      </c>
      <c r="BE7" s="47"/>
      <c r="BF7" s="46"/>
      <c r="BG7" s="43"/>
      <c r="BH7" s="120">
        <v>1</v>
      </c>
      <c r="BI7" s="47"/>
      <c r="BJ7" s="77"/>
      <c r="BK7" s="43"/>
      <c r="BL7" s="119">
        <v>2</v>
      </c>
      <c r="BM7" s="45"/>
      <c r="BN7" s="80"/>
      <c r="BO7" s="43"/>
      <c r="BP7" s="119">
        <v>2</v>
      </c>
      <c r="BQ7" s="45"/>
      <c r="BR7" s="77"/>
      <c r="BS7" s="69"/>
      <c r="BT7" s="69"/>
      <c r="BU7" s="69"/>
      <c r="BV7" s="69"/>
    </row>
    <row r="8" spans="1:74" s="1" customFormat="1" ht="18.75" x14ac:dyDescent="0.25">
      <c r="A8" s="165"/>
      <c r="B8" s="73" t="s">
        <v>161</v>
      </c>
      <c r="C8" s="43"/>
      <c r="D8" s="119">
        <v>150</v>
      </c>
      <c r="E8" s="43"/>
      <c r="F8" s="44"/>
      <c r="G8" s="43"/>
      <c r="H8" s="46"/>
      <c r="I8" s="45"/>
      <c r="J8" s="46"/>
      <c r="K8" s="43"/>
      <c r="L8" s="119">
        <v>120</v>
      </c>
      <c r="M8" s="43"/>
      <c r="N8" s="44"/>
      <c r="O8" s="43"/>
      <c r="P8" s="46"/>
      <c r="Q8" s="45"/>
      <c r="R8" s="46"/>
      <c r="S8" s="43"/>
      <c r="T8" s="119">
        <v>150</v>
      </c>
      <c r="U8" s="45"/>
      <c r="V8" s="44"/>
      <c r="W8" s="43"/>
      <c r="X8" s="46"/>
      <c r="Y8" s="43"/>
      <c r="Z8" s="46"/>
      <c r="AA8" s="43"/>
      <c r="AB8" s="44"/>
      <c r="AC8" s="45"/>
      <c r="AD8" s="44"/>
      <c r="AE8" s="119">
        <v>100</v>
      </c>
      <c r="AF8" s="46"/>
      <c r="AG8" s="47"/>
      <c r="AH8" s="46"/>
      <c r="AI8" s="43"/>
      <c r="AJ8" s="168">
        <v>0</v>
      </c>
      <c r="AK8" s="45"/>
      <c r="AL8" s="44"/>
      <c r="AM8" s="43"/>
      <c r="AN8" s="46"/>
      <c r="AO8" s="43"/>
      <c r="AP8" s="46"/>
      <c r="AQ8" s="43"/>
      <c r="AR8" s="44"/>
      <c r="AS8" s="45"/>
      <c r="AT8" s="79"/>
      <c r="AU8" s="43"/>
      <c r="AV8" s="46"/>
      <c r="AW8" s="47"/>
      <c r="AX8" s="46"/>
      <c r="AY8" s="43"/>
      <c r="AZ8" s="44"/>
      <c r="BA8" s="45"/>
      <c r="BB8" s="77"/>
      <c r="BC8" s="43"/>
      <c r="BD8" s="120">
        <v>1</v>
      </c>
      <c r="BE8" s="47"/>
      <c r="BF8" s="46"/>
      <c r="BG8" s="43"/>
      <c r="BH8" s="120">
        <v>1</v>
      </c>
      <c r="BI8" s="47"/>
      <c r="BJ8" s="77"/>
      <c r="BK8" s="43"/>
      <c r="BL8" s="119">
        <v>1</v>
      </c>
      <c r="BM8" s="45"/>
      <c r="BN8" s="80"/>
      <c r="BO8" s="86">
        <v>1</v>
      </c>
      <c r="BP8" s="119">
        <v>3</v>
      </c>
      <c r="BQ8" s="45"/>
      <c r="BR8" s="77"/>
      <c r="BS8" s="69"/>
      <c r="BT8" s="69"/>
      <c r="BU8" s="69"/>
      <c r="BV8" s="69"/>
    </row>
    <row r="9" spans="1:74" s="1" customFormat="1" ht="18.75" x14ac:dyDescent="0.25">
      <c r="A9" s="165"/>
      <c r="B9" s="73" t="s">
        <v>162</v>
      </c>
      <c r="C9" s="43"/>
      <c r="D9" s="119">
        <v>178</v>
      </c>
      <c r="E9" s="43"/>
      <c r="F9" s="44"/>
      <c r="G9" s="43"/>
      <c r="H9" s="46"/>
      <c r="I9" s="45"/>
      <c r="J9" s="46"/>
      <c r="K9" s="43"/>
      <c r="L9" s="119">
        <v>145</v>
      </c>
      <c r="M9" s="43"/>
      <c r="N9" s="44"/>
      <c r="O9" s="43"/>
      <c r="P9" s="46"/>
      <c r="Q9" s="45"/>
      <c r="R9" s="46"/>
      <c r="S9" s="43"/>
      <c r="T9" s="119">
        <v>98</v>
      </c>
      <c r="U9" s="45"/>
      <c r="V9" s="44"/>
      <c r="W9" s="43"/>
      <c r="X9" s="46"/>
      <c r="Y9" s="43"/>
      <c r="Z9" s="46"/>
      <c r="AA9" s="43"/>
      <c r="AB9" s="44"/>
      <c r="AC9" s="45"/>
      <c r="AD9" s="44"/>
      <c r="AE9" s="87">
        <v>167</v>
      </c>
      <c r="AF9" s="46"/>
      <c r="AG9" s="47"/>
      <c r="AH9" s="46"/>
      <c r="AI9" s="43"/>
      <c r="AJ9" s="119">
        <v>255</v>
      </c>
      <c r="AK9" s="45"/>
      <c r="AL9" s="44"/>
      <c r="AM9" s="43"/>
      <c r="AN9" s="46"/>
      <c r="AO9" s="43"/>
      <c r="AP9" s="46"/>
      <c r="AQ9" s="43"/>
      <c r="AR9" s="44"/>
      <c r="AS9" s="45"/>
      <c r="AT9" s="77"/>
      <c r="AU9" s="43"/>
      <c r="AV9" s="46"/>
      <c r="AW9" s="47"/>
      <c r="AX9" s="46"/>
      <c r="AY9" s="43"/>
      <c r="AZ9" s="44"/>
      <c r="BA9" s="45"/>
      <c r="BB9" s="77"/>
      <c r="BC9" s="43"/>
      <c r="BD9" s="120">
        <v>1</v>
      </c>
      <c r="BE9" s="47"/>
      <c r="BF9" s="46"/>
      <c r="BG9" s="43"/>
      <c r="BH9" s="120">
        <v>1</v>
      </c>
      <c r="BI9" s="45"/>
      <c r="BJ9" s="77"/>
      <c r="BK9" s="86">
        <v>2</v>
      </c>
      <c r="BL9" s="119">
        <v>1</v>
      </c>
      <c r="BM9" s="45"/>
      <c r="BN9" s="80"/>
      <c r="BO9" s="86">
        <v>2</v>
      </c>
      <c r="BP9" s="119">
        <v>3</v>
      </c>
      <c r="BQ9" s="45"/>
      <c r="BR9" s="77"/>
      <c r="BS9" s="69"/>
      <c r="BT9" s="69"/>
      <c r="BU9" s="69"/>
      <c r="BV9" s="69"/>
    </row>
    <row r="10" spans="1:74" s="1" customFormat="1" ht="18.75" x14ac:dyDescent="0.25">
      <c r="A10" s="165"/>
      <c r="B10" s="73" t="s">
        <v>163</v>
      </c>
      <c r="C10" s="43"/>
      <c r="D10" s="119">
        <v>161</v>
      </c>
      <c r="E10" s="43"/>
      <c r="F10" s="44"/>
      <c r="G10" s="43"/>
      <c r="H10" s="46"/>
      <c r="I10" s="45"/>
      <c r="J10" s="46"/>
      <c r="K10" s="43"/>
      <c r="L10" s="119">
        <v>131</v>
      </c>
      <c r="M10" s="43"/>
      <c r="N10" s="44"/>
      <c r="O10" s="43"/>
      <c r="P10" s="46"/>
      <c r="Q10" s="45"/>
      <c r="R10" s="46"/>
      <c r="S10" s="43"/>
      <c r="T10" s="119">
        <v>63</v>
      </c>
      <c r="U10" s="45"/>
      <c r="V10" s="44"/>
      <c r="W10" s="43"/>
      <c r="X10" s="46"/>
      <c r="Y10" s="43"/>
      <c r="Z10" s="46"/>
      <c r="AA10" s="43"/>
      <c r="AB10" s="44"/>
      <c r="AC10" s="45"/>
      <c r="AD10" s="44"/>
      <c r="AE10" s="87">
        <v>258</v>
      </c>
      <c r="AF10" s="46"/>
      <c r="AG10" s="47"/>
      <c r="AH10" s="46"/>
      <c r="AI10" s="43"/>
      <c r="AJ10" s="168">
        <v>0</v>
      </c>
      <c r="AK10" s="45"/>
      <c r="AL10" s="44"/>
      <c r="AM10" s="43"/>
      <c r="AN10" s="46"/>
      <c r="AO10" s="43"/>
      <c r="AP10" s="46"/>
      <c r="AQ10" s="43"/>
      <c r="AR10" s="44"/>
      <c r="AS10" s="45"/>
      <c r="AT10" s="77"/>
      <c r="AU10" s="43"/>
      <c r="AV10" s="46"/>
      <c r="AW10" s="47"/>
      <c r="AX10" s="46"/>
      <c r="AY10" s="43"/>
      <c r="AZ10" s="44"/>
      <c r="BA10" s="45"/>
      <c r="BB10" s="77"/>
      <c r="BC10" s="43"/>
      <c r="BD10" s="120">
        <v>1</v>
      </c>
      <c r="BE10" s="47"/>
      <c r="BF10" s="46"/>
      <c r="BG10" s="43"/>
      <c r="BH10" s="120">
        <v>1</v>
      </c>
      <c r="BI10" s="43"/>
      <c r="BJ10" s="77"/>
      <c r="BK10" s="43"/>
      <c r="BL10" s="119">
        <v>3</v>
      </c>
      <c r="BM10" s="45"/>
      <c r="BN10" s="80"/>
      <c r="BO10" s="43"/>
      <c r="BP10" s="168">
        <v>0</v>
      </c>
      <c r="BQ10" s="45"/>
      <c r="BR10" s="77"/>
      <c r="BS10" s="69"/>
      <c r="BT10" s="69"/>
      <c r="BU10" s="69"/>
      <c r="BV10" s="69"/>
    </row>
    <row r="11" spans="1:74" s="1" customFormat="1" ht="18.75" x14ac:dyDescent="0.25">
      <c r="A11" s="165"/>
      <c r="B11" s="73" t="s">
        <v>164</v>
      </c>
      <c r="C11" s="43"/>
      <c r="D11" s="119">
        <v>143</v>
      </c>
      <c r="E11" s="43"/>
      <c r="F11" s="44"/>
      <c r="G11" s="43"/>
      <c r="H11" s="46"/>
      <c r="I11" s="45"/>
      <c r="J11" s="46"/>
      <c r="K11" s="43"/>
      <c r="L11" s="119">
        <v>139</v>
      </c>
      <c r="M11" s="43"/>
      <c r="N11" s="44"/>
      <c r="O11" s="43"/>
      <c r="P11" s="46"/>
      <c r="Q11" s="45"/>
      <c r="R11" s="46"/>
      <c r="S11" s="43"/>
      <c r="T11" s="119">
        <v>51</v>
      </c>
      <c r="U11" s="45"/>
      <c r="V11" s="44"/>
      <c r="W11" s="43"/>
      <c r="X11" s="46"/>
      <c r="Y11" s="43"/>
      <c r="Z11" s="46"/>
      <c r="AA11" s="43"/>
      <c r="AB11" s="44"/>
      <c r="AC11" s="45"/>
      <c r="AD11" s="44"/>
      <c r="AE11" s="87">
        <v>226</v>
      </c>
      <c r="AF11" s="46"/>
      <c r="AG11" s="47"/>
      <c r="AH11" s="46"/>
      <c r="AI11" s="43"/>
      <c r="AJ11" s="168">
        <v>0</v>
      </c>
      <c r="AK11" s="45"/>
      <c r="AL11" s="44"/>
      <c r="AM11" s="43"/>
      <c r="AN11" s="46"/>
      <c r="AO11" s="43"/>
      <c r="AP11" s="46"/>
      <c r="AQ11" s="43"/>
      <c r="AR11" s="44"/>
      <c r="AS11" s="45"/>
      <c r="AT11" s="77"/>
      <c r="AU11" s="43"/>
      <c r="AV11" s="46"/>
      <c r="AW11" s="47"/>
      <c r="AX11" s="46"/>
      <c r="AY11" s="43"/>
      <c r="AZ11" s="44"/>
      <c r="BA11" s="45"/>
      <c r="BB11" s="78"/>
      <c r="BC11" s="43"/>
      <c r="BD11" s="120">
        <v>1</v>
      </c>
      <c r="BE11" s="47"/>
      <c r="BF11" s="46"/>
      <c r="BG11" s="43"/>
      <c r="BH11" s="120">
        <v>1</v>
      </c>
      <c r="BI11" s="45"/>
      <c r="BJ11" s="77"/>
      <c r="BK11" s="86">
        <v>2</v>
      </c>
      <c r="BL11" s="119">
        <v>1</v>
      </c>
      <c r="BM11" s="45"/>
      <c r="BN11" s="80"/>
      <c r="BO11" s="86">
        <v>1</v>
      </c>
      <c r="BP11" s="122">
        <v>3</v>
      </c>
      <c r="BQ11" s="71"/>
      <c r="BR11" s="70"/>
      <c r="BS11" s="69"/>
      <c r="BT11" s="70"/>
      <c r="BU11" s="71"/>
      <c r="BV11" s="70"/>
    </row>
    <row r="12" spans="1:74" s="1" customFormat="1" ht="18.75" x14ac:dyDescent="0.25">
      <c r="A12" s="165"/>
      <c r="B12" s="73" t="s">
        <v>165</v>
      </c>
      <c r="C12" s="43"/>
      <c r="D12" s="119">
        <v>125</v>
      </c>
      <c r="E12" s="43"/>
      <c r="F12" s="44"/>
      <c r="G12" s="43"/>
      <c r="H12" s="46"/>
      <c r="I12" s="45"/>
      <c r="J12" s="46"/>
      <c r="K12" s="43"/>
      <c r="L12" s="119">
        <v>124</v>
      </c>
      <c r="M12" s="43"/>
      <c r="N12" s="44"/>
      <c r="O12" s="43"/>
      <c r="P12" s="46"/>
      <c r="Q12" s="45"/>
      <c r="R12" s="46"/>
      <c r="S12" s="43"/>
      <c r="T12" s="119">
        <v>57</v>
      </c>
      <c r="U12" s="45"/>
      <c r="V12" s="44"/>
      <c r="W12" s="43"/>
      <c r="X12" s="46"/>
      <c r="Y12" s="43"/>
      <c r="Z12" s="46"/>
      <c r="AA12" s="43"/>
      <c r="AB12" s="44"/>
      <c r="AC12" s="45"/>
      <c r="AD12" s="44"/>
      <c r="AE12" s="119">
        <v>323</v>
      </c>
      <c r="AF12" s="46"/>
      <c r="AG12" s="47"/>
      <c r="AH12" s="46"/>
      <c r="AI12" s="43"/>
      <c r="AJ12" s="168">
        <v>0</v>
      </c>
      <c r="AK12" s="45"/>
      <c r="AL12" s="44"/>
      <c r="AM12" s="43"/>
      <c r="AN12" s="46"/>
      <c r="AO12" s="43"/>
      <c r="AP12" s="46"/>
      <c r="AQ12" s="43"/>
      <c r="AR12" s="44"/>
      <c r="AS12" s="45"/>
      <c r="AT12" s="77"/>
      <c r="AU12" s="43"/>
      <c r="AV12" s="46"/>
      <c r="AW12" s="47"/>
      <c r="AX12" s="46"/>
      <c r="AY12" s="43"/>
      <c r="AZ12" s="44"/>
      <c r="BA12" s="45"/>
      <c r="BB12" s="78"/>
      <c r="BC12" s="43"/>
      <c r="BD12" s="120">
        <v>1</v>
      </c>
      <c r="BE12" s="47"/>
      <c r="BF12" s="46"/>
      <c r="BG12" s="43"/>
      <c r="BH12" s="120">
        <v>1</v>
      </c>
      <c r="BI12" s="45"/>
      <c r="BJ12" s="77"/>
      <c r="BK12" s="86">
        <v>2</v>
      </c>
      <c r="BL12" s="119">
        <v>1</v>
      </c>
      <c r="BM12" s="45"/>
      <c r="BN12" s="80"/>
      <c r="BO12" s="86">
        <v>2</v>
      </c>
      <c r="BP12" s="122">
        <v>1</v>
      </c>
      <c r="BQ12" s="71"/>
      <c r="BR12" s="70"/>
      <c r="BS12" s="69"/>
      <c r="BT12" s="70"/>
      <c r="BU12" s="71"/>
      <c r="BV12" s="70"/>
    </row>
    <row r="13" spans="1:74" s="1" customFormat="1" ht="18.75" x14ac:dyDescent="0.25">
      <c r="A13" s="165"/>
      <c r="B13" s="73" t="s">
        <v>166</v>
      </c>
      <c r="C13" s="40"/>
      <c r="D13" s="119">
        <v>125</v>
      </c>
      <c r="E13" s="43"/>
      <c r="F13" s="44"/>
      <c r="G13" s="43"/>
      <c r="H13" s="46"/>
      <c r="I13" s="45"/>
      <c r="J13" s="46"/>
      <c r="K13" s="43"/>
      <c r="L13" s="119">
        <v>100</v>
      </c>
      <c r="M13" s="43"/>
      <c r="N13" s="44"/>
      <c r="O13" s="43"/>
      <c r="P13" s="46"/>
      <c r="Q13" s="45"/>
      <c r="R13" s="46"/>
      <c r="S13" s="43"/>
      <c r="T13" s="119">
        <v>50</v>
      </c>
      <c r="U13" s="45"/>
      <c r="V13" s="44"/>
      <c r="W13" s="43"/>
      <c r="X13" s="46"/>
      <c r="Y13" s="43"/>
      <c r="Z13" s="46"/>
      <c r="AA13" s="43"/>
      <c r="AB13" s="44"/>
      <c r="AC13" s="45"/>
      <c r="AD13" s="44"/>
      <c r="AE13" s="87">
        <v>100</v>
      </c>
      <c r="AF13" s="46"/>
      <c r="AG13" s="47"/>
      <c r="AH13" s="46"/>
      <c r="AI13" s="43"/>
      <c r="AJ13" s="168">
        <v>0</v>
      </c>
      <c r="AK13" s="45"/>
      <c r="AL13" s="44"/>
      <c r="AM13" s="43"/>
      <c r="AN13" s="46"/>
      <c r="AO13" s="43"/>
      <c r="AP13" s="46"/>
      <c r="AQ13" s="43"/>
      <c r="AR13" s="44"/>
      <c r="AS13" s="45"/>
      <c r="AT13" s="77"/>
      <c r="AU13" s="43"/>
      <c r="AV13" s="46"/>
      <c r="AW13" s="47"/>
      <c r="AX13" s="46"/>
      <c r="AY13" s="43"/>
      <c r="AZ13" s="44"/>
      <c r="BA13" s="45"/>
      <c r="BB13" s="77"/>
      <c r="BC13" s="43"/>
      <c r="BD13" s="120">
        <v>1</v>
      </c>
      <c r="BE13" s="47"/>
      <c r="BF13" s="46"/>
      <c r="BG13" s="43"/>
      <c r="BH13" s="120">
        <v>1</v>
      </c>
      <c r="BI13" s="43"/>
      <c r="BJ13" s="77"/>
      <c r="BK13" s="86">
        <v>1</v>
      </c>
      <c r="BL13" s="119">
        <v>1</v>
      </c>
      <c r="BM13" s="45"/>
      <c r="BN13" s="80"/>
      <c r="BO13" s="86">
        <v>2</v>
      </c>
      <c r="BP13" s="122">
        <v>1</v>
      </c>
      <c r="BQ13" s="45"/>
      <c r="BR13" s="77"/>
      <c r="BS13" s="69"/>
      <c r="BT13" s="69"/>
      <c r="BU13" s="69"/>
      <c r="BV13" s="69"/>
    </row>
    <row r="14" spans="1:74" s="6" customFormat="1" ht="19.5" x14ac:dyDescent="0.3">
      <c r="A14" s="84"/>
      <c r="B14" s="28"/>
      <c r="C14" s="83">
        <f>SUM(C4:C13)</f>
        <v>0</v>
      </c>
      <c r="D14" s="27">
        <f t="shared" ref="D14:F14" si="0">SUM(D4:D13)</f>
        <v>1399</v>
      </c>
      <c r="E14" s="27">
        <f t="shared" si="0"/>
        <v>0</v>
      </c>
      <c r="F14" s="27">
        <f t="shared" si="0"/>
        <v>0</v>
      </c>
      <c r="G14" s="27">
        <f>SUM(G4:G13)</f>
        <v>0</v>
      </c>
      <c r="H14" s="27">
        <f t="shared" ref="H14:BS14" si="1">SUM(H4:H13)</f>
        <v>0</v>
      </c>
      <c r="I14" s="27">
        <f t="shared" si="1"/>
        <v>0</v>
      </c>
      <c r="J14" s="27">
        <f t="shared" si="1"/>
        <v>0</v>
      </c>
      <c r="K14" s="27">
        <f t="shared" si="1"/>
        <v>0</v>
      </c>
      <c r="L14" s="27">
        <f t="shared" si="1"/>
        <v>1176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723</v>
      </c>
      <c r="U14" s="27">
        <f t="shared" si="1"/>
        <v>0</v>
      </c>
      <c r="V14" s="27">
        <f t="shared" si="1"/>
        <v>0</v>
      </c>
      <c r="W14" s="27">
        <f t="shared" si="1"/>
        <v>0</v>
      </c>
      <c r="X14" s="27">
        <f t="shared" si="1"/>
        <v>0</v>
      </c>
      <c r="Y14" s="27">
        <f t="shared" si="1"/>
        <v>0</v>
      </c>
      <c r="Z14" s="27">
        <f t="shared" si="1"/>
        <v>0</v>
      </c>
      <c r="AA14" s="27">
        <f t="shared" si="1"/>
        <v>0</v>
      </c>
      <c r="AB14" s="27">
        <f t="shared" si="1"/>
        <v>0</v>
      </c>
      <c r="AC14" s="27">
        <f t="shared" si="1"/>
        <v>0</v>
      </c>
      <c r="AD14" s="27">
        <f t="shared" si="1"/>
        <v>0</v>
      </c>
      <c r="AE14" s="27">
        <f t="shared" si="1"/>
        <v>2194</v>
      </c>
      <c r="AF14" s="27">
        <f t="shared" si="1"/>
        <v>45</v>
      </c>
      <c r="AG14" s="27">
        <f t="shared" si="1"/>
        <v>0</v>
      </c>
      <c r="AH14" s="27">
        <f t="shared" si="1"/>
        <v>0</v>
      </c>
      <c r="AI14" s="27">
        <f t="shared" si="1"/>
        <v>0</v>
      </c>
      <c r="AJ14" s="27">
        <f t="shared" si="1"/>
        <v>478</v>
      </c>
      <c r="AK14" s="27">
        <f t="shared" si="1"/>
        <v>0</v>
      </c>
      <c r="AL14" s="27">
        <f t="shared" si="1"/>
        <v>0</v>
      </c>
      <c r="AM14" s="27">
        <f t="shared" si="1"/>
        <v>0</v>
      </c>
      <c r="AN14" s="27">
        <f t="shared" si="1"/>
        <v>0</v>
      </c>
      <c r="AO14" s="27">
        <f t="shared" si="1"/>
        <v>0</v>
      </c>
      <c r="AP14" s="27">
        <f t="shared" si="1"/>
        <v>0</v>
      </c>
      <c r="AQ14" s="27">
        <f t="shared" si="1"/>
        <v>0</v>
      </c>
      <c r="AR14" s="27">
        <f t="shared" si="1"/>
        <v>0</v>
      </c>
      <c r="AS14" s="27">
        <f t="shared" si="1"/>
        <v>0</v>
      </c>
      <c r="AT14" s="27">
        <f t="shared" si="1"/>
        <v>0</v>
      </c>
      <c r="AU14" s="27">
        <f t="shared" si="1"/>
        <v>0</v>
      </c>
      <c r="AV14" s="27">
        <f t="shared" si="1"/>
        <v>0</v>
      </c>
      <c r="AW14" s="27">
        <f t="shared" si="1"/>
        <v>0</v>
      </c>
      <c r="AX14" s="27">
        <f t="shared" si="1"/>
        <v>0</v>
      </c>
      <c r="AY14" s="27">
        <f t="shared" si="1"/>
        <v>0</v>
      </c>
      <c r="AZ14" s="27">
        <f t="shared" si="1"/>
        <v>0</v>
      </c>
      <c r="BA14" s="27">
        <f t="shared" si="1"/>
        <v>0</v>
      </c>
      <c r="BB14" s="27">
        <f t="shared" si="1"/>
        <v>0</v>
      </c>
      <c r="BC14" s="27"/>
      <c r="BD14" s="27"/>
      <c r="BE14" s="27"/>
      <c r="BF14" s="27"/>
      <c r="BG14" s="27"/>
      <c r="BH14" s="27"/>
      <c r="BI14" s="27"/>
      <c r="BJ14" s="27"/>
      <c r="BK14" s="27">
        <f t="shared" si="1"/>
        <v>10</v>
      </c>
      <c r="BL14" s="27">
        <f t="shared" si="1"/>
        <v>15</v>
      </c>
      <c r="BM14" s="27">
        <f t="shared" si="1"/>
        <v>0</v>
      </c>
      <c r="BN14" s="27">
        <f t="shared" si="1"/>
        <v>0</v>
      </c>
      <c r="BO14" s="27">
        <f t="shared" si="1"/>
        <v>10</v>
      </c>
      <c r="BP14" s="27">
        <f t="shared" si="1"/>
        <v>16</v>
      </c>
      <c r="BQ14" s="27">
        <f t="shared" si="1"/>
        <v>0</v>
      </c>
      <c r="BR14" s="27">
        <f t="shared" si="1"/>
        <v>0</v>
      </c>
      <c r="BS14" s="27">
        <f t="shared" si="1"/>
        <v>1</v>
      </c>
      <c r="BT14" s="27">
        <f t="shared" ref="BT14" si="2">SUM(BT4:BT13)</f>
        <v>1</v>
      </c>
      <c r="BU14" s="27">
        <f>SUM(BU4:BU13)</f>
        <v>0</v>
      </c>
      <c r="BV14" s="27">
        <f>SUM(BV4:BV13)</f>
        <v>0</v>
      </c>
    </row>
    <row r="15" spans="1:74" s="7" customFormat="1" ht="21" x14ac:dyDescent="0.35">
      <c r="A15" s="6"/>
      <c r="B15" s="8" t="s">
        <v>7</v>
      </c>
      <c r="C15" s="85">
        <f>SUM(C14+D14+E14+F14)</f>
        <v>1399</v>
      </c>
      <c r="D15" s="9"/>
      <c r="E15" s="9"/>
      <c r="F15" s="9"/>
      <c r="G15" s="8">
        <f>SUM(G14+H14+I14+J14)</f>
        <v>0</v>
      </c>
      <c r="H15" s="9"/>
      <c r="I15" s="9"/>
      <c r="J15" s="9"/>
      <c r="K15" s="8">
        <f>SUM(K14+L14+M14+N14)</f>
        <v>1176</v>
      </c>
      <c r="L15" s="9"/>
      <c r="M15" s="9"/>
      <c r="N15" s="9"/>
      <c r="O15" s="8">
        <f>SUM(O14+P14+Q14+R14)</f>
        <v>0</v>
      </c>
      <c r="P15" s="9"/>
      <c r="Q15" s="9"/>
      <c r="R15" s="9"/>
      <c r="S15" s="8">
        <f>SUM(S14+T14+U14+V14)</f>
        <v>723</v>
      </c>
      <c r="T15" s="9"/>
      <c r="U15" s="9"/>
      <c r="V15" s="9"/>
      <c r="W15" s="8">
        <f>SUM(W14+X14+Y14+Z14)</f>
        <v>0</v>
      </c>
      <c r="X15" s="9"/>
      <c r="Y15" s="9"/>
      <c r="Z15" s="9"/>
      <c r="AA15" s="8">
        <f>SUM(AA14+AB14+AC14+AD14)</f>
        <v>0</v>
      </c>
      <c r="AB15" s="9"/>
      <c r="AC15" s="9"/>
      <c r="AD15" s="9"/>
      <c r="AE15" s="8">
        <f>SUM(AE14:AH14)</f>
        <v>2239</v>
      </c>
      <c r="AF15" s="9"/>
      <c r="AG15" s="9"/>
      <c r="AH15" s="9"/>
      <c r="AI15" s="8">
        <f>SUM(AI14+AJ14+AK14+AL14)</f>
        <v>478</v>
      </c>
      <c r="AJ15" s="9"/>
      <c r="AK15" s="9"/>
      <c r="AL15" s="9"/>
      <c r="AM15" s="8">
        <f>SUM(AM14+AN14+AO14+AP14)</f>
        <v>0</v>
      </c>
      <c r="AN15" s="9"/>
      <c r="AO15" s="9"/>
      <c r="AP15" s="9"/>
      <c r="AQ15" s="8">
        <f>SUM(AQ14+AR14+AS14+AT14)</f>
        <v>0</v>
      </c>
      <c r="AR15" s="9"/>
      <c r="AS15" s="9"/>
      <c r="AT15" s="9"/>
      <c r="AU15" s="8">
        <f>SUM(AU14:AX14)</f>
        <v>0</v>
      </c>
      <c r="AV15" s="9"/>
      <c r="AW15" s="9"/>
      <c r="AX15" s="9"/>
      <c r="AY15" s="8">
        <f>SUM(AY14:BB14)</f>
        <v>0</v>
      </c>
      <c r="AZ15" s="9"/>
      <c r="BA15" s="9"/>
      <c r="BB15" s="9"/>
      <c r="BC15" s="120">
        <v>1</v>
      </c>
      <c r="BD15" s="9"/>
      <c r="BE15" s="9"/>
      <c r="BF15" s="9"/>
      <c r="BG15" s="120">
        <v>1</v>
      </c>
      <c r="BH15" s="9"/>
      <c r="BI15" s="9"/>
      <c r="BJ15" s="9"/>
      <c r="BK15" s="8">
        <f>SUM(BK14:BN14)</f>
        <v>25</v>
      </c>
      <c r="BL15" s="9"/>
      <c r="BM15" s="9"/>
      <c r="BN15" s="9"/>
      <c r="BO15" s="8">
        <f>SUM(BO14:BR14)</f>
        <v>26</v>
      </c>
      <c r="BP15" s="9"/>
      <c r="BQ15" s="9"/>
      <c r="BR15" s="9"/>
      <c r="BS15" s="8">
        <f>SUM(BS14:BV14)</f>
        <v>2</v>
      </c>
      <c r="BT15" s="9"/>
      <c r="BU15" s="9"/>
      <c r="BV15" s="9"/>
    </row>
    <row r="16" spans="1:74" ht="21" x14ac:dyDescent="0.35">
      <c r="A16" s="7"/>
    </row>
  </sheetData>
  <mergeCells count="21">
    <mergeCell ref="AY1:BB1"/>
    <mergeCell ref="BG1:BJ1"/>
    <mergeCell ref="BK1:BN1"/>
    <mergeCell ref="BO1:BR1"/>
    <mergeCell ref="BC1:BF1"/>
    <mergeCell ref="BS1:BV1"/>
    <mergeCell ref="A3:A13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V17"/>
  <sheetViews>
    <sheetView zoomScaleNormal="100" workbookViewId="0">
      <selection activeCell="A3" sqref="A3:A14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243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176</v>
      </c>
      <c r="B3" s="73" t="s">
        <v>167</v>
      </c>
      <c r="C3" s="43"/>
      <c r="D3" s="87">
        <v>160</v>
      </c>
      <c r="E3" s="43"/>
      <c r="F3" s="44"/>
      <c r="G3" s="43"/>
      <c r="H3" s="46"/>
      <c r="I3" s="45"/>
      <c r="J3" s="46"/>
      <c r="K3" s="43"/>
      <c r="L3" s="87">
        <v>160</v>
      </c>
      <c r="M3" s="43"/>
      <c r="N3" s="44"/>
      <c r="O3" s="43"/>
      <c r="P3" s="46"/>
      <c r="Q3" s="45"/>
      <c r="R3" s="46"/>
      <c r="S3" s="43"/>
      <c r="T3" s="87">
        <v>160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100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4">
        <v>1</v>
      </c>
      <c r="BE3" s="47"/>
      <c r="BF3" s="46"/>
      <c r="BG3" s="43"/>
      <c r="BH3" s="114">
        <v>1</v>
      </c>
      <c r="BI3" s="47"/>
      <c r="BJ3" s="77"/>
      <c r="BK3" s="86">
        <v>1</v>
      </c>
      <c r="BL3" s="87">
        <v>4</v>
      </c>
      <c r="BM3" s="45"/>
      <c r="BN3" s="80"/>
      <c r="BO3" s="86">
        <v>1</v>
      </c>
      <c r="BP3" s="87">
        <v>1</v>
      </c>
      <c r="BQ3" s="43"/>
      <c r="BR3" s="77"/>
      <c r="BS3" s="91"/>
      <c r="BT3" s="92"/>
      <c r="BU3" s="93"/>
      <c r="BV3" s="93"/>
    </row>
    <row r="4" spans="1:74" s="1" customFormat="1" ht="18.75" x14ac:dyDescent="0.25">
      <c r="A4" s="165"/>
      <c r="B4" s="73" t="s">
        <v>168</v>
      </c>
      <c r="C4" s="43"/>
      <c r="D4" s="87">
        <v>158</v>
      </c>
      <c r="E4" s="43"/>
      <c r="F4" s="44"/>
      <c r="G4" s="43"/>
      <c r="H4" s="46"/>
      <c r="I4" s="45"/>
      <c r="J4" s="46"/>
      <c r="K4" s="43"/>
      <c r="L4" s="87">
        <v>153</v>
      </c>
      <c r="M4" s="43"/>
      <c r="N4" s="44"/>
      <c r="O4" s="43"/>
      <c r="P4" s="46"/>
      <c r="Q4" s="45"/>
      <c r="R4" s="46"/>
      <c r="S4" s="43"/>
      <c r="T4" s="87">
        <v>50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140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4">
        <v>1</v>
      </c>
      <c r="BE4" s="47"/>
      <c r="BF4" s="46"/>
      <c r="BG4" s="43"/>
      <c r="BH4" s="114">
        <v>1</v>
      </c>
      <c r="BI4" s="47"/>
      <c r="BJ4" s="77"/>
      <c r="BK4" s="86">
        <v>2</v>
      </c>
      <c r="BL4" s="87">
        <v>2</v>
      </c>
      <c r="BM4" s="45"/>
      <c r="BN4" s="80"/>
      <c r="BO4" s="86">
        <v>3</v>
      </c>
      <c r="BP4" s="87">
        <v>2</v>
      </c>
      <c r="BQ4" s="43"/>
      <c r="BR4" s="77"/>
      <c r="BS4" s="91"/>
      <c r="BT4" s="92"/>
      <c r="BU4" s="93"/>
      <c r="BV4" s="93"/>
    </row>
    <row r="5" spans="1:74" s="1" customFormat="1" ht="18.75" x14ac:dyDescent="0.25">
      <c r="A5" s="165"/>
      <c r="B5" s="73" t="s">
        <v>169</v>
      </c>
      <c r="C5" s="43"/>
      <c r="D5" s="87">
        <v>125</v>
      </c>
      <c r="E5" s="43"/>
      <c r="F5" s="44"/>
      <c r="G5" s="43"/>
      <c r="H5" s="46"/>
      <c r="I5" s="45"/>
      <c r="J5" s="46"/>
      <c r="K5" s="43"/>
      <c r="L5" s="87">
        <v>100</v>
      </c>
      <c r="M5" s="43"/>
      <c r="N5" s="44"/>
      <c r="O5" s="43"/>
      <c r="P5" s="46"/>
      <c r="Q5" s="45"/>
      <c r="R5" s="46"/>
      <c r="S5" s="43"/>
      <c r="T5" s="87">
        <v>50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100</v>
      </c>
      <c r="AF5" s="46"/>
      <c r="AG5" s="47"/>
      <c r="AH5" s="46"/>
      <c r="AI5" s="43"/>
      <c r="AJ5" s="168">
        <v>0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14">
        <v>1</v>
      </c>
      <c r="BE5" s="47"/>
      <c r="BF5" s="46"/>
      <c r="BG5" s="43"/>
      <c r="BH5" s="114">
        <v>1</v>
      </c>
      <c r="BI5" s="47"/>
      <c r="BJ5" s="77"/>
      <c r="BK5" s="86">
        <v>1</v>
      </c>
      <c r="BL5" s="87">
        <v>1</v>
      </c>
      <c r="BM5" s="45"/>
      <c r="BN5" s="80"/>
      <c r="BO5" s="86">
        <v>1</v>
      </c>
      <c r="BP5" s="87">
        <v>1</v>
      </c>
      <c r="BQ5" s="43"/>
      <c r="BR5" s="77"/>
      <c r="BS5" s="91"/>
      <c r="BT5" s="92"/>
      <c r="BU5" s="93"/>
      <c r="BV5" s="93"/>
    </row>
    <row r="6" spans="1:74" s="1" customFormat="1" ht="18.75" x14ac:dyDescent="0.25">
      <c r="A6" s="165"/>
      <c r="B6" s="73" t="s">
        <v>170</v>
      </c>
      <c r="C6" s="43"/>
      <c r="D6" s="87">
        <v>125</v>
      </c>
      <c r="E6" s="43"/>
      <c r="F6" s="44"/>
      <c r="G6" s="43"/>
      <c r="H6" s="46"/>
      <c r="I6" s="45"/>
      <c r="J6" s="46"/>
      <c r="K6" s="43"/>
      <c r="L6" s="87">
        <v>100</v>
      </c>
      <c r="M6" s="43"/>
      <c r="N6" s="44"/>
      <c r="O6" s="43"/>
      <c r="P6" s="46"/>
      <c r="Q6" s="45"/>
      <c r="R6" s="46"/>
      <c r="S6" s="43"/>
      <c r="T6" s="87">
        <v>50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176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14">
        <v>1</v>
      </c>
      <c r="BE6" s="47"/>
      <c r="BF6" s="46"/>
      <c r="BG6" s="43"/>
      <c r="BH6" s="114">
        <v>1</v>
      </c>
      <c r="BI6" s="47"/>
      <c r="BJ6" s="77"/>
      <c r="BK6" s="43"/>
      <c r="BL6" s="87">
        <v>3</v>
      </c>
      <c r="BM6" s="45"/>
      <c r="BN6" s="80"/>
      <c r="BO6" s="86">
        <v>1</v>
      </c>
      <c r="BP6" s="87">
        <v>1</v>
      </c>
      <c r="BQ6" s="43"/>
      <c r="BR6" s="77"/>
      <c r="BS6" s="86">
        <v>1</v>
      </c>
      <c r="BT6" s="116">
        <v>1</v>
      </c>
      <c r="BU6" s="45"/>
      <c r="BV6" s="80"/>
    </row>
    <row r="7" spans="1:74" s="1" customFormat="1" ht="18.75" x14ac:dyDescent="0.25">
      <c r="A7" s="165"/>
      <c r="B7" s="73" t="s">
        <v>171</v>
      </c>
      <c r="C7" s="43"/>
      <c r="D7" s="87">
        <v>125</v>
      </c>
      <c r="E7" s="43"/>
      <c r="F7" s="44"/>
      <c r="G7" s="43"/>
      <c r="H7" s="46"/>
      <c r="I7" s="45"/>
      <c r="J7" s="46"/>
      <c r="K7" s="43"/>
      <c r="L7" s="87">
        <v>100</v>
      </c>
      <c r="M7" s="43"/>
      <c r="N7" s="44"/>
      <c r="O7" s="43"/>
      <c r="P7" s="46"/>
      <c r="Q7" s="45"/>
      <c r="R7" s="46"/>
      <c r="S7" s="43"/>
      <c r="T7" s="87">
        <v>50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87">
        <v>100</v>
      </c>
      <c r="AF7" s="46"/>
      <c r="AG7" s="47"/>
      <c r="AH7" s="46"/>
      <c r="AI7" s="43"/>
      <c r="AJ7" s="168">
        <v>0</v>
      </c>
      <c r="AK7" s="45"/>
      <c r="AL7" s="44"/>
      <c r="AM7" s="43"/>
      <c r="AN7" s="46"/>
      <c r="AO7" s="43"/>
      <c r="AP7" s="46"/>
      <c r="AQ7" s="43"/>
      <c r="AR7" s="44"/>
      <c r="AS7" s="45"/>
      <c r="AT7" s="77"/>
      <c r="AU7" s="43"/>
      <c r="AV7" s="46"/>
      <c r="AW7" s="47"/>
      <c r="AX7" s="46"/>
      <c r="AY7" s="43"/>
      <c r="AZ7" s="44"/>
      <c r="BA7" s="45"/>
      <c r="BB7" s="77"/>
      <c r="BC7" s="43"/>
      <c r="BD7" s="114">
        <v>1</v>
      </c>
      <c r="BE7" s="47"/>
      <c r="BF7" s="46"/>
      <c r="BG7" s="43"/>
      <c r="BH7" s="114">
        <v>1</v>
      </c>
      <c r="BI7" s="47"/>
      <c r="BJ7" s="77"/>
      <c r="BK7" s="86">
        <v>3</v>
      </c>
      <c r="BL7" s="87">
        <v>1</v>
      </c>
      <c r="BM7" s="45"/>
      <c r="BN7" s="80"/>
      <c r="BO7" s="86">
        <v>2</v>
      </c>
      <c r="BP7" s="87">
        <v>1</v>
      </c>
      <c r="BQ7" s="45"/>
      <c r="BR7" s="77"/>
      <c r="BS7" s="86">
        <v>1</v>
      </c>
      <c r="BT7" s="116">
        <v>1</v>
      </c>
      <c r="BU7" s="45"/>
      <c r="BV7" s="41"/>
    </row>
    <row r="8" spans="1:74" s="1" customFormat="1" ht="18.75" x14ac:dyDescent="0.25">
      <c r="A8" s="165"/>
      <c r="B8" s="73" t="s">
        <v>239</v>
      </c>
      <c r="C8" s="43"/>
      <c r="D8" s="111">
        <v>100</v>
      </c>
      <c r="E8" s="43"/>
      <c r="F8" s="44"/>
      <c r="G8" s="43"/>
      <c r="H8" s="46"/>
      <c r="I8" s="45"/>
      <c r="J8" s="46"/>
      <c r="K8" s="43"/>
      <c r="L8" s="129">
        <v>65</v>
      </c>
      <c r="M8" s="43"/>
      <c r="N8" s="44"/>
      <c r="O8" s="43"/>
      <c r="P8" s="46"/>
      <c r="Q8" s="45"/>
      <c r="R8" s="46"/>
      <c r="S8" s="43"/>
      <c r="T8" s="87">
        <v>58</v>
      </c>
      <c r="U8" s="45"/>
      <c r="V8" s="44"/>
      <c r="W8" s="43"/>
      <c r="X8" s="46"/>
      <c r="Y8" s="43"/>
      <c r="Z8" s="46"/>
      <c r="AA8" s="43"/>
      <c r="AB8" s="44"/>
      <c r="AC8" s="45"/>
      <c r="AD8" s="44"/>
      <c r="AE8" s="87">
        <v>100</v>
      </c>
      <c r="AF8" s="46"/>
      <c r="AG8" s="47"/>
      <c r="AH8" s="46"/>
      <c r="AI8" s="43"/>
      <c r="AJ8" s="168">
        <v>0</v>
      </c>
      <c r="AK8" s="45"/>
      <c r="AL8" s="44"/>
      <c r="AM8" s="43"/>
      <c r="AN8" s="46"/>
      <c r="AO8" s="43"/>
      <c r="AP8" s="46"/>
      <c r="AQ8" s="43"/>
      <c r="AR8" s="44"/>
      <c r="AS8" s="45"/>
      <c r="AT8" s="79"/>
      <c r="AU8" s="43"/>
      <c r="AV8" s="46"/>
      <c r="AW8" s="47"/>
      <c r="AX8" s="46"/>
      <c r="AY8" s="43"/>
      <c r="AZ8" s="44"/>
      <c r="BA8" s="45"/>
      <c r="BB8" s="77"/>
      <c r="BC8" s="43"/>
      <c r="BD8" s="114">
        <v>1</v>
      </c>
      <c r="BE8" s="47"/>
      <c r="BF8" s="46"/>
      <c r="BG8" s="43"/>
      <c r="BH8" s="114">
        <v>1</v>
      </c>
      <c r="BI8" s="47"/>
      <c r="BJ8" s="77"/>
      <c r="BK8" s="69"/>
      <c r="BL8" s="71"/>
      <c r="BM8" s="69"/>
      <c r="BN8" s="71"/>
      <c r="BO8" s="86">
        <v>1</v>
      </c>
      <c r="BP8" s="87">
        <v>2</v>
      </c>
      <c r="BQ8" s="45"/>
      <c r="BR8" s="77"/>
      <c r="BS8" s="91"/>
      <c r="BT8" s="91"/>
      <c r="BU8" s="91"/>
      <c r="BV8" s="92"/>
    </row>
    <row r="9" spans="1:74" s="1" customFormat="1" ht="18.75" x14ac:dyDescent="0.25">
      <c r="A9" s="165"/>
      <c r="B9" s="73" t="s">
        <v>72</v>
      </c>
      <c r="C9" s="43"/>
      <c r="D9" s="87">
        <v>128</v>
      </c>
      <c r="E9" s="43"/>
      <c r="F9" s="44"/>
      <c r="G9" s="43"/>
      <c r="H9" s="46"/>
      <c r="I9" s="45"/>
      <c r="J9" s="46"/>
      <c r="K9" s="43"/>
      <c r="L9" s="87">
        <v>128</v>
      </c>
      <c r="M9" s="43"/>
      <c r="N9" s="44"/>
      <c r="O9" s="43"/>
      <c r="P9" s="46"/>
      <c r="Q9" s="45"/>
      <c r="R9" s="46"/>
      <c r="S9" s="43"/>
      <c r="T9" s="87">
        <v>128</v>
      </c>
      <c r="U9" s="45"/>
      <c r="V9" s="44"/>
      <c r="W9" s="43"/>
      <c r="X9" s="46"/>
      <c r="Y9" s="43"/>
      <c r="Z9" s="46"/>
      <c r="AA9" s="43"/>
      <c r="AB9" s="44"/>
      <c r="AC9" s="45"/>
      <c r="AD9" s="44"/>
      <c r="AE9" s="87">
        <v>100</v>
      </c>
      <c r="AF9" s="46"/>
      <c r="AG9" s="47"/>
      <c r="AH9" s="46"/>
      <c r="AI9" s="43"/>
      <c r="AJ9" s="168">
        <v>0</v>
      </c>
      <c r="AK9" s="45"/>
      <c r="AL9" s="44"/>
      <c r="AM9" s="43"/>
      <c r="AN9" s="46"/>
      <c r="AO9" s="43"/>
      <c r="AP9" s="46"/>
      <c r="AQ9" s="43"/>
      <c r="AR9" s="44"/>
      <c r="AS9" s="45"/>
      <c r="AT9" s="77"/>
      <c r="AU9" s="43"/>
      <c r="AV9" s="46"/>
      <c r="AW9" s="47"/>
      <c r="AX9" s="46"/>
      <c r="AY9" s="43"/>
      <c r="AZ9" s="44"/>
      <c r="BA9" s="45"/>
      <c r="BB9" s="77"/>
      <c r="BC9" s="43"/>
      <c r="BD9" s="114">
        <v>1</v>
      </c>
      <c r="BE9" s="47"/>
      <c r="BF9" s="46"/>
      <c r="BG9" s="43"/>
      <c r="BH9" s="114">
        <v>1</v>
      </c>
      <c r="BI9" s="47"/>
      <c r="BJ9" s="77"/>
      <c r="BK9" s="86">
        <v>2</v>
      </c>
      <c r="BL9" s="87">
        <v>2</v>
      </c>
      <c r="BM9" s="45"/>
      <c r="BN9" s="80"/>
      <c r="BO9" s="88">
        <v>2</v>
      </c>
      <c r="BP9" s="87">
        <v>2</v>
      </c>
      <c r="BQ9" s="45"/>
      <c r="BR9" s="77"/>
      <c r="BS9" s="91"/>
      <c r="BT9" s="92"/>
      <c r="BU9" s="93"/>
      <c r="BV9" s="92"/>
    </row>
    <row r="10" spans="1:74" s="1" customFormat="1" ht="18.75" x14ac:dyDescent="0.25">
      <c r="A10" s="165"/>
      <c r="B10" s="73" t="s">
        <v>172</v>
      </c>
      <c r="C10" s="43"/>
      <c r="D10" s="87">
        <v>125</v>
      </c>
      <c r="E10" s="43"/>
      <c r="F10" s="44"/>
      <c r="G10" s="43"/>
      <c r="H10" s="46"/>
      <c r="I10" s="45"/>
      <c r="J10" s="46"/>
      <c r="K10" s="43"/>
      <c r="L10" s="87">
        <v>100</v>
      </c>
      <c r="M10" s="43"/>
      <c r="N10" s="44"/>
      <c r="O10" s="43"/>
      <c r="P10" s="46"/>
      <c r="Q10" s="45"/>
      <c r="R10" s="46"/>
      <c r="S10" s="43"/>
      <c r="T10" s="87">
        <v>50</v>
      </c>
      <c r="U10" s="45"/>
      <c r="V10" s="44"/>
      <c r="W10" s="43"/>
      <c r="X10" s="46"/>
      <c r="Y10" s="43"/>
      <c r="Z10" s="46"/>
      <c r="AA10" s="43"/>
      <c r="AB10" s="44"/>
      <c r="AC10" s="45"/>
      <c r="AD10" s="44"/>
      <c r="AE10" s="87">
        <v>100</v>
      </c>
      <c r="AF10" s="46"/>
      <c r="AG10" s="47"/>
      <c r="AH10" s="46"/>
      <c r="AI10" s="43"/>
      <c r="AJ10" s="168">
        <v>0</v>
      </c>
      <c r="AK10" s="45"/>
      <c r="AL10" s="44"/>
      <c r="AM10" s="43"/>
      <c r="AN10" s="46"/>
      <c r="AO10" s="43"/>
      <c r="AP10" s="46"/>
      <c r="AQ10" s="43"/>
      <c r="AR10" s="44"/>
      <c r="AS10" s="45"/>
      <c r="AT10" s="79"/>
      <c r="AU10" s="43"/>
      <c r="AV10" s="46"/>
      <c r="AW10" s="47"/>
      <c r="AX10" s="46"/>
      <c r="AY10" s="43"/>
      <c r="AZ10" s="44"/>
      <c r="BA10" s="45"/>
      <c r="BB10" s="77"/>
      <c r="BC10" s="43"/>
      <c r="BD10" s="114">
        <v>1</v>
      </c>
      <c r="BE10" s="47"/>
      <c r="BF10" s="46"/>
      <c r="BG10" s="43"/>
      <c r="BH10" s="114">
        <v>1</v>
      </c>
      <c r="BI10" s="47"/>
      <c r="BJ10" s="77"/>
      <c r="BK10" s="86">
        <v>2</v>
      </c>
      <c r="BL10" s="87">
        <v>1</v>
      </c>
      <c r="BM10" s="45"/>
      <c r="BN10" s="80"/>
      <c r="BO10" s="86">
        <v>1</v>
      </c>
      <c r="BP10" s="87">
        <v>1</v>
      </c>
      <c r="BQ10" s="45"/>
      <c r="BR10" s="77"/>
      <c r="BS10" s="91"/>
      <c r="BT10" s="92"/>
      <c r="BU10" s="93"/>
      <c r="BV10" s="92"/>
    </row>
    <row r="11" spans="1:74" s="1" customFormat="1" ht="18.75" x14ac:dyDescent="0.25">
      <c r="A11" s="165"/>
      <c r="B11" s="73" t="s">
        <v>173</v>
      </c>
      <c r="C11" s="43"/>
      <c r="D11" s="87">
        <v>158</v>
      </c>
      <c r="E11" s="43"/>
      <c r="F11" s="44"/>
      <c r="G11" s="43"/>
      <c r="H11" s="46"/>
      <c r="I11" s="45"/>
      <c r="J11" s="46"/>
      <c r="K11" s="43"/>
      <c r="L11" s="87">
        <v>129</v>
      </c>
      <c r="M11" s="43"/>
      <c r="N11" s="44"/>
      <c r="O11" s="43"/>
      <c r="P11" s="46"/>
      <c r="Q11" s="45"/>
      <c r="R11" s="46"/>
      <c r="S11" s="43"/>
      <c r="T11" s="87">
        <v>127</v>
      </c>
      <c r="U11" s="45"/>
      <c r="V11" s="44"/>
      <c r="W11" s="43"/>
      <c r="X11" s="46"/>
      <c r="Y11" s="43"/>
      <c r="Z11" s="46"/>
      <c r="AA11" s="43"/>
      <c r="AB11" s="44"/>
      <c r="AC11" s="45"/>
      <c r="AD11" s="44"/>
      <c r="AE11" s="87">
        <v>116</v>
      </c>
      <c r="AF11" s="46"/>
      <c r="AG11" s="47"/>
      <c r="AH11" s="46"/>
      <c r="AI11" s="43"/>
      <c r="AJ11" s="168">
        <v>0</v>
      </c>
      <c r="AK11" s="45"/>
      <c r="AL11" s="44"/>
      <c r="AM11" s="43"/>
      <c r="AN11" s="46"/>
      <c r="AO11" s="43"/>
      <c r="AP11" s="46"/>
      <c r="AQ11" s="43"/>
      <c r="AR11" s="44"/>
      <c r="AS11" s="45"/>
      <c r="AT11" s="77"/>
      <c r="AU11" s="43"/>
      <c r="AV11" s="46"/>
      <c r="AW11" s="47"/>
      <c r="AX11" s="46"/>
      <c r="AY11" s="43"/>
      <c r="AZ11" s="44"/>
      <c r="BA11" s="45"/>
      <c r="BB11" s="77"/>
      <c r="BC11" s="43"/>
      <c r="BD11" s="114">
        <v>1</v>
      </c>
      <c r="BE11" s="47"/>
      <c r="BF11" s="46"/>
      <c r="BG11" s="43"/>
      <c r="BH11" s="114">
        <v>1</v>
      </c>
      <c r="BI11" s="45"/>
      <c r="BJ11" s="77"/>
      <c r="BK11" s="86">
        <v>1</v>
      </c>
      <c r="BL11" s="87">
        <v>1</v>
      </c>
      <c r="BM11" s="45"/>
      <c r="BN11" s="80"/>
      <c r="BO11" s="86">
        <v>1</v>
      </c>
      <c r="BP11" s="87">
        <v>2</v>
      </c>
      <c r="BQ11" s="45"/>
      <c r="BR11" s="77"/>
      <c r="BS11" s="43"/>
      <c r="BT11" s="169">
        <v>0</v>
      </c>
      <c r="BU11" s="45"/>
      <c r="BV11" s="41"/>
    </row>
    <row r="12" spans="1:74" s="1" customFormat="1" ht="18.75" x14ac:dyDescent="0.25">
      <c r="A12" s="165"/>
      <c r="B12" s="73" t="s">
        <v>174</v>
      </c>
      <c r="C12" s="43"/>
      <c r="D12" s="87">
        <v>125</v>
      </c>
      <c r="E12" s="43"/>
      <c r="F12" s="44"/>
      <c r="G12" s="43"/>
      <c r="H12" s="46"/>
      <c r="I12" s="45"/>
      <c r="J12" s="46"/>
      <c r="K12" s="43"/>
      <c r="L12" s="87">
        <v>100</v>
      </c>
      <c r="M12" s="43"/>
      <c r="N12" s="44"/>
      <c r="O12" s="43"/>
      <c r="P12" s="46"/>
      <c r="Q12" s="45"/>
      <c r="R12" s="46"/>
      <c r="S12" s="43"/>
      <c r="T12" s="87">
        <v>50</v>
      </c>
      <c r="U12" s="45"/>
      <c r="V12" s="44"/>
      <c r="W12" s="43"/>
      <c r="X12" s="46"/>
      <c r="Y12" s="43"/>
      <c r="Z12" s="46"/>
      <c r="AA12" s="43"/>
      <c r="AB12" s="44"/>
      <c r="AC12" s="45"/>
      <c r="AD12" s="44"/>
      <c r="AE12" s="87">
        <v>150</v>
      </c>
      <c r="AF12" s="46"/>
      <c r="AG12" s="47"/>
      <c r="AH12" s="46"/>
      <c r="AI12" s="43"/>
      <c r="AJ12" s="168">
        <v>0</v>
      </c>
      <c r="AK12" s="45"/>
      <c r="AL12" s="44"/>
      <c r="AM12" s="43"/>
      <c r="AN12" s="46"/>
      <c r="AO12" s="43"/>
      <c r="AP12" s="46"/>
      <c r="AQ12" s="43"/>
      <c r="AR12" s="44"/>
      <c r="AS12" s="45"/>
      <c r="AT12" s="77"/>
      <c r="AU12" s="43"/>
      <c r="AV12" s="46"/>
      <c r="AW12" s="47"/>
      <c r="AX12" s="46"/>
      <c r="AY12" s="43"/>
      <c r="AZ12" s="44"/>
      <c r="BA12" s="45"/>
      <c r="BB12" s="77"/>
      <c r="BC12" s="43"/>
      <c r="BD12" s="114">
        <v>1</v>
      </c>
      <c r="BE12" s="47"/>
      <c r="BF12" s="46"/>
      <c r="BG12" s="43"/>
      <c r="BH12" s="114">
        <v>1</v>
      </c>
      <c r="BI12" s="43"/>
      <c r="BJ12" s="77"/>
      <c r="BK12" s="43"/>
      <c r="BL12" s="87">
        <v>1</v>
      </c>
      <c r="BM12" s="45"/>
      <c r="BN12" s="80"/>
      <c r="BO12" s="86">
        <v>1</v>
      </c>
      <c r="BP12" s="87">
        <v>2</v>
      </c>
      <c r="BQ12" s="45"/>
      <c r="BR12" s="77"/>
      <c r="BS12" s="43"/>
      <c r="BT12" s="168">
        <v>0</v>
      </c>
      <c r="BU12" s="45"/>
      <c r="BV12" s="80"/>
    </row>
    <row r="13" spans="1:74" s="1" customFormat="1" ht="18.75" x14ac:dyDescent="0.25">
      <c r="A13" s="165"/>
      <c r="B13" s="73" t="s">
        <v>244</v>
      </c>
      <c r="C13" s="43"/>
      <c r="D13" s="87">
        <v>179</v>
      </c>
      <c r="E13" s="43"/>
      <c r="F13" s="44"/>
      <c r="G13" s="43"/>
      <c r="H13" s="46"/>
      <c r="I13" s="45"/>
      <c r="J13" s="46"/>
      <c r="K13" s="43"/>
      <c r="L13" s="87">
        <v>179</v>
      </c>
      <c r="M13" s="43"/>
      <c r="N13" s="44"/>
      <c r="O13" s="43"/>
      <c r="P13" s="46"/>
      <c r="Q13" s="45"/>
      <c r="R13" s="46"/>
      <c r="S13" s="43"/>
      <c r="T13" s="87">
        <v>86</v>
      </c>
      <c r="U13" s="45"/>
      <c r="V13" s="44"/>
      <c r="W13" s="43"/>
      <c r="X13" s="46"/>
      <c r="Y13" s="43"/>
      <c r="Z13" s="46"/>
      <c r="AA13" s="43"/>
      <c r="AB13" s="44"/>
      <c r="AC13" s="45"/>
      <c r="AD13" s="44"/>
      <c r="AE13" s="87">
        <v>187</v>
      </c>
      <c r="AF13" s="46"/>
      <c r="AG13" s="47"/>
      <c r="AH13" s="46"/>
      <c r="AI13" s="43"/>
      <c r="AJ13" s="168">
        <v>0</v>
      </c>
      <c r="AK13" s="45"/>
      <c r="AL13" s="44"/>
      <c r="AM13" s="43"/>
      <c r="AN13" s="46"/>
      <c r="AO13" s="43"/>
      <c r="AP13" s="46"/>
      <c r="AQ13" s="43"/>
      <c r="AR13" s="44"/>
      <c r="AS13" s="45"/>
      <c r="AT13" s="77"/>
      <c r="AU13" s="43"/>
      <c r="AV13" s="46"/>
      <c r="AW13" s="47"/>
      <c r="AX13" s="46"/>
      <c r="AY13" s="43"/>
      <c r="AZ13" s="44"/>
      <c r="BA13" s="45"/>
      <c r="BB13" s="78"/>
      <c r="BC13" s="43"/>
      <c r="BD13" s="114">
        <v>1</v>
      </c>
      <c r="BE13" s="47"/>
      <c r="BF13" s="46"/>
      <c r="BG13" s="43"/>
      <c r="BH13" s="114">
        <v>1</v>
      </c>
      <c r="BI13" s="45"/>
      <c r="BJ13" s="77"/>
      <c r="BK13" s="86">
        <v>1</v>
      </c>
      <c r="BL13" s="87">
        <v>1</v>
      </c>
      <c r="BM13" s="45"/>
      <c r="BN13" s="80"/>
      <c r="BO13" s="86">
        <v>1</v>
      </c>
      <c r="BP13" s="116">
        <v>1</v>
      </c>
      <c r="BQ13" s="71"/>
      <c r="BR13" s="70"/>
      <c r="BS13" s="43"/>
      <c r="BT13" s="168">
        <v>0</v>
      </c>
      <c r="BU13" s="45"/>
      <c r="BV13" s="80"/>
    </row>
    <row r="14" spans="1:74" s="1" customFormat="1" ht="18.75" x14ac:dyDescent="0.25">
      <c r="A14" s="165"/>
      <c r="B14" s="73" t="s">
        <v>175</v>
      </c>
      <c r="C14" s="43"/>
      <c r="D14" s="87">
        <v>161</v>
      </c>
      <c r="E14" s="43"/>
      <c r="F14" s="44"/>
      <c r="G14" s="43"/>
      <c r="H14" s="46"/>
      <c r="I14" s="45"/>
      <c r="J14" s="46"/>
      <c r="K14" s="43"/>
      <c r="L14" s="87">
        <v>110</v>
      </c>
      <c r="M14" s="43"/>
      <c r="N14" s="44"/>
      <c r="O14" s="43"/>
      <c r="P14" s="46"/>
      <c r="Q14" s="45"/>
      <c r="R14" s="46"/>
      <c r="S14" s="43"/>
      <c r="T14" s="87">
        <v>70</v>
      </c>
      <c r="U14" s="45"/>
      <c r="V14" s="44"/>
      <c r="W14" s="43"/>
      <c r="X14" s="46"/>
      <c r="Y14" s="43"/>
      <c r="Z14" s="46"/>
      <c r="AA14" s="43"/>
      <c r="AB14" s="44"/>
      <c r="AC14" s="45"/>
      <c r="AD14" s="44"/>
      <c r="AE14" s="87">
        <v>100</v>
      </c>
      <c r="AF14" s="46"/>
      <c r="AG14" s="47"/>
      <c r="AH14" s="46"/>
      <c r="AI14" s="43"/>
      <c r="AJ14" s="168">
        <v>0</v>
      </c>
      <c r="AK14" s="45"/>
      <c r="AL14" s="44"/>
      <c r="AM14" s="43"/>
      <c r="AN14" s="46"/>
      <c r="AO14" s="43"/>
      <c r="AP14" s="46"/>
      <c r="AQ14" s="43"/>
      <c r="AR14" s="44"/>
      <c r="AS14" s="45"/>
      <c r="AT14" s="77"/>
      <c r="AU14" s="43"/>
      <c r="AV14" s="46"/>
      <c r="AW14" s="47"/>
      <c r="AX14" s="46"/>
      <c r="AY14" s="43"/>
      <c r="AZ14" s="44"/>
      <c r="BA14" s="45"/>
      <c r="BB14" s="78"/>
      <c r="BC14" s="43"/>
      <c r="BD14" s="114">
        <v>1</v>
      </c>
      <c r="BE14" s="47"/>
      <c r="BF14" s="46"/>
      <c r="BG14" s="43"/>
      <c r="BH14" s="114">
        <v>1</v>
      </c>
      <c r="BI14" s="45"/>
      <c r="BJ14" s="77"/>
      <c r="BK14" s="69"/>
      <c r="BL14" s="71"/>
      <c r="BM14" s="71"/>
      <c r="BN14" s="71"/>
      <c r="BO14" s="69"/>
      <c r="BP14" s="70"/>
      <c r="BQ14" s="71"/>
      <c r="BR14" s="70"/>
      <c r="BS14" s="69"/>
      <c r="BT14" s="70"/>
      <c r="BU14" s="71"/>
      <c r="BV14" s="70"/>
    </row>
    <row r="15" spans="1:74" s="6" customFormat="1" ht="19.5" x14ac:dyDescent="0.3">
      <c r="A15" s="84"/>
      <c r="B15" s="28"/>
      <c r="C15" s="83">
        <f t="shared" ref="C15:AH15" si="0">SUM(C3:C14)</f>
        <v>0</v>
      </c>
      <c r="D15" s="27">
        <f t="shared" si="0"/>
        <v>1669</v>
      </c>
      <c r="E15" s="27">
        <f t="shared" si="0"/>
        <v>0</v>
      </c>
      <c r="F15" s="27">
        <f t="shared" si="0"/>
        <v>0</v>
      </c>
      <c r="G15" s="27">
        <f t="shared" si="0"/>
        <v>0</v>
      </c>
      <c r="H15" s="27">
        <f t="shared" si="0"/>
        <v>0</v>
      </c>
      <c r="I15" s="27">
        <f t="shared" si="0"/>
        <v>0</v>
      </c>
      <c r="J15" s="27">
        <f t="shared" si="0"/>
        <v>0</v>
      </c>
      <c r="K15" s="27">
        <f t="shared" si="0"/>
        <v>0</v>
      </c>
      <c r="L15" s="27">
        <f t="shared" si="0"/>
        <v>1424</v>
      </c>
      <c r="M15" s="27">
        <f t="shared" si="0"/>
        <v>0</v>
      </c>
      <c r="N15" s="27">
        <f t="shared" si="0"/>
        <v>0</v>
      </c>
      <c r="O15" s="27">
        <f t="shared" si="0"/>
        <v>0</v>
      </c>
      <c r="P15" s="27">
        <f t="shared" si="0"/>
        <v>0</v>
      </c>
      <c r="Q15" s="27">
        <f t="shared" si="0"/>
        <v>0</v>
      </c>
      <c r="R15" s="27">
        <f t="shared" si="0"/>
        <v>0</v>
      </c>
      <c r="S15" s="27">
        <f t="shared" si="0"/>
        <v>0</v>
      </c>
      <c r="T15" s="27">
        <f t="shared" si="0"/>
        <v>929</v>
      </c>
      <c r="U15" s="27">
        <f t="shared" si="0"/>
        <v>0</v>
      </c>
      <c r="V15" s="27">
        <f t="shared" si="0"/>
        <v>0</v>
      </c>
      <c r="W15" s="27">
        <f t="shared" si="0"/>
        <v>0</v>
      </c>
      <c r="X15" s="27">
        <f t="shared" si="0"/>
        <v>0</v>
      </c>
      <c r="Y15" s="27">
        <f t="shared" si="0"/>
        <v>0</v>
      </c>
      <c r="Z15" s="27">
        <f t="shared" si="0"/>
        <v>0</v>
      </c>
      <c r="AA15" s="27">
        <f t="shared" si="0"/>
        <v>0</v>
      </c>
      <c r="AB15" s="27">
        <f t="shared" si="0"/>
        <v>0</v>
      </c>
      <c r="AC15" s="27">
        <f t="shared" si="0"/>
        <v>0</v>
      </c>
      <c r="AD15" s="27">
        <f t="shared" si="0"/>
        <v>0</v>
      </c>
      <c r="AE15" s="27">
        <f t="shared" si="0"/>
        <v>1469</v>
      </c>
      <c r="AF15" s="27">
        <f t="shared" si="0"/>
        <v>0</v>
      </c>
      <c r="AG15" s="27">
        <f t="shared" si="0"/>
        <v>0</v>
      </c>
      <c r="AH15" s="27">
        <f t="shared" si="0"/>
        <v>0</v>
      </c>
      <c r="AI15" s="27">
        <f t="shared" ref="AI15:BN15" si="1">SUM(AI3:AI14)</f>
        <v>0</v>
      </c>
      <c r="AJ15" s="27">
        <f t="shared" si="1"/>
        <v>0</v>
      </c>
      <c r="AK15" s="27">
        <f t="shared" si="1"/>
        <v>0</v>
      </c>
      <c r="AL15" s="27">
        <f t="shared" si="1"/>
        <v>0</v>
      </c>
      <c r="AM15" s="27">
        <f t="shared" si="1"/>
        <v>0</v>
      </c>
      <c r="AN15" s="27">
        <f t="shared" si="1"/>
        <v>0</v>
      </c>
      <c r="AO15" s="27">
        <f t="shared" si="1"/>
        <v>0</v>
      </c>
      <c r="AP15" s="27">
        <f t="shared" si="1"/>
        <v>0</v>
      </c>
      <c r="AQ15" s="27">
        <f t="shared" si="1"/>
        <v>0</v>
      </c>
      <c r="AR15" s="27">
        <f t="shared" si="1"/>
        <v>0</v>
      </c>
      <c r="AS15" s="27">
        <f t="shared" si="1"/>
        <v>0</v>
      </c>
      <c r="AT15" s="27">
        <f t="shared" si="1"/>
        <v>0</v>
      </c>
      <c r="AU15" s="27">
        <f t="shared" si="1"/>
        <v>0</v>
      </c>
      <c r="AV15" s="27">
        <f t="shared" si="1"/>
        <v>0</v>
      </c>
      <c r="AW15" s="27">
        <f t="shared" si="1"/>
        <v>0</v>
      </c>
      <c r="AX15" s="27">
        <f t="shared" si="1"/>
        <v>0</v>
      </c>
      <c r="AY15" s="27">
        <f t="shared" si="1"/>
        <v>0</v>
      </c>
      <c r="AZ15" s="27">
        <f t="shared" si="1"/>
        <v>0</v>
      </c>
      <c r="BA15" s="27">
        <f t="shared" si="1"/>
        <v>0</v>
      </c>
      <c r="BB15" s="27">
        <f t="shared" si="1"/>
        <v>0</v>
      </c>
      <c r="BC15" s="27"/>
      <c r="BD15" s="126">
        <v>1</v>
      </c>
      <c r="BE15" s="27"/>
      <c r="BF15" s="27"/>
      <c r="BG15" s="27"/>
      <c r="BH15" s="126">
        <v>1</v>
      </c>
      <c r="BI15" s="27"/>
      <c r="BJ15" s="27"/>
      <c r="BK15" s="27">
        <f t="shared" si="1"/>
        <v>13</v>
      </c>
      <c r="BL15" s="27">
        <f t="shared" si="1"/>
        <v>17</v>
      </c>
      <c r="BM15" s="27">
        <f t="shared" si="1"/>
        <v>0</v>
      </c>
      <c r="BN15" s="27">
        <f t="shared" si="1"/>
        <v>0</v>
      </c>
      <c r="BO15" s="27">
        <f t="shared" ref="BO15:BV15" si="2">SUM(BO3:BO14)</f>
        <v>15</v>
      </c>
      <c r="BP15" s="27">
        <f t="shared" si="2"/>
        <v>16</v>
      </c>
      <c r="BQ15" s="27">
        <f t="shared" si="2"/>
        <v>0</v>
      </c>
      <c r="BR15" s="27">
        <f t="shared" si="2"/>
        <v>0</v>
      </c>
      <c r="BS15" s="27">
        <f t="shared" si="2"/>
        <v>2</v>
      </c>
      <c r="BT15" s="27">
        <f t="shared" si="2"/>
        <v>2</v>
      </c>
      <c r="BU15" s="27">
        <f t="shared" si="2"/>
        <v>0</v>
      </c>
      <c r="BV15" s="27">
        <f t="shared" si="2"/>
        <v>0</v>
      </c>
    </row>
    <row r="16" spans="1:74" s="7" customFormat="1" ht="21" x14ac:dyDescent="0.35">
      <c r="A16" s="6"/>
      <c r="B16" s="8" t="s">
        <v>7</v>
      </c>
      <c r="C16" s="85">
        <f>SUM(C15+D15+E15+F15)</f>
        <v>1669</v>
      </c>
      <c r="D16" s="9"/>
      <c r="E16" s="9"/>
      <c r="F16" s="9"/>
      <c r="G16" s="8">
        <f>SUM(G15+H15+I15+J15)</f>
        <v>0</v>
      </c>
      <c r="H16" s="9"/>
      <c r="I16" s="9"/>
      <c r="J16" s="9"/>
      <c r="K16" s="8">
        <f>SUM(K15+L15+M15+N15)</f>
        <v>1424</v>
      </c>
      <c r="L16" s="9"/>
      <c r="M16" s="9"/>
      <c r="N16" s="9"/>
      <c r="O16" s="8">
        <f>SUM(O15+P15+Q15+R15)</f>
        <v>0</v>
      </c>
      <c r="P16" s="9"/>
      <c r="Q16" s="9"/>
      <c r="R16" s="9"/>
      <c r="S16" s="8">
        <f>SUM(S15+T15+U15+V15)</f>
        <v>929</v>
      </c>
      <c r="T16" s="9"/>
      <c r="U16" s="9"/>
      <c r="V16" s="9"/>
      <c r="W16" s="8">
        <f>SUM(W15+X15+Y15+Z15)</f>
        <v>0</v>
      </c>
      <c r="X16" s="9"/>
      <c r="Y16" s="9"/>
      <c r="Z16" s="9"/>
      <c r="AA16" s="8">
        <f>SUM(AA15+AB15+AC15+AD15)</f>
        <v>0</v>
      </c>
      <c r="AB16" s="9"/>
      <c r="AC16" s="9"/>
      <c r="AD16" s="9"/>
      <c r="AE16" s="8">
        <f>SUM(AE15:AH15)</f>
        <v>1469</v>
      </c>
      <c r="AF16" s="9"/>
      <c r="AG16" s="9"/>
      <c r="AH16" s="9"/>
      <c r="AI16" s="8">
        <f>SUM(AI15+AJ15+AK15+AL15)</f>
        <v>0</v>
      </c>
      <c r="AJ16" s="9"/>
      <c r="AK16" s="9"/>
      <c r="AL16" s="9"/>
      <c r="AM16" s="8">
        <f>SUM(AM15+AN15+AO15+AP15)</f>
        <v>0</v>
      </c>
      <c r="AN16" s="9"/>
      <c r="AO16" s="9"/>
      <c r="AP16" s="9"/>
      <c r="AQ16" s="8">
        <f>SUM(AQ15+AR15+AS15+AT15)</f>
        <v>0</v>
      </c>
      <c r="AR16" s="9"/>
      <c r="AS16" s="9"/>
      <c r="AT16" s="9"/>
      <c r="AU16" s="8">
        <f>SUM(AU15:AX15)</f>
        <v>0</v>
      </c>
      <c r="AV16" s="9"/>
      <c r="AW16" s="9"/>
      <c r="AX16" s="9"/>
      <c r="AY16" s="8">
        <f>SUM(AY15:BB15)</f>
        <v>0</v>
      </c>
      <c r="AZ16" s="9"/>
      <c r="BA16" s="9"/>
      <c r="BB16" s="9"/>
      <c r="BC16" s="126">
        <v>1</v>
      </c>
      <c r="BD16" s="9"/>
      <c r="BE16" s="9"/>
      <c r="BF16" s="9"/>
      <c r="BG16" s="126">
        <v>1</v>
      </c>
      <c r="BH16" s="9"/>
      <c r="BI16" s="9"/>
      <c r="BJ16" s="9"/>
      <c r="BK16" s="8">
        <f>SUM(BK15:BN15)</f>
        <v>30</v>
      </c>
      <c r="BL16" s="9"/>
      <c r="BM16" s="9"/>
      <c r="BN16" s="9"/>
      <c r="BO16" s="8">
        <f>SUM(BO15:BR15)</f>
        <v>31</v>
      </c>
      <c r="BP16" s="9"/>
      <c r="BQ16" s="9"/>
      <c r="BR16" s="9"/>
      <c r="BS16" s="8">
        <f>SUM(BS15:BV15)</f>
        <v>4</v>
      </c>
      <c r="BT16" s="9"/>
      <c r="BU16" s="9"/>
      <c r="BV16" s="9"/>
    </row>
    <row r="17" spans="1:1" ht="21" x14ac:dyDescent="0.35">
      <c r="A17" s="7"/>
    </row>
  </sheetData>
  <mergeCells count="21">
    <mergeCell ref="AY1:BB1"/>
    <mergeCell ref="BG1:BJ1"/>
    <mergeCell ref="BK1:BN1"/>
    <mergeCell ref="BO1:BR1"/>
    <mergeCell ref="BC1:BF1"/>
    <mergeCell ref="BS1:BV1"/>
    <mergeCell ref="A3:A14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14"/>
  <sheetViews>
    <sheetView workbookViewId="0">
      <selection activeCell="A3" sqref="A3:A11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99</v>
      </c>
      <c r="D1" s="154"/>
      <c r="E1" s="154"/>
      <c r="F1" s="155"/>
      <c r="G1" s="139" t="s">
        <v>101</v>
      </c>
      <c r="H1" s="140"/>
      <c r="I1" s="140"/>
      <c r="J1" s="141"/>
      <c r="K1" s="136" t="s">
        <v>100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177</v>
      </c>
      <c r="B3" s="73" t="s">
        <v>178</v>
      </c>
      <c r="C3" s="43"/>
      <c r="D3" s="119">
        <v>291</v>
      </c>
      <c r="E3" s="43"/>
      <c r="F3" s="44"/>
      <c r="G3" s="43"/>
      <c r="H3" s="46"/>
      <c r="I3" s="45"/>
      <c r="J3" s="46"/>
      <c r="K3" s="43"/>
      <c r="L3" s="119">
        <v>291</v>
      </c>
      <c r="M3" s="43"/>
      <c r="N3" s="44"/>
      <c r="O3" s="43"/>
      <c r="P3" s="46"/>
      <c r="Q3" s="45"/>
      <c r="R3" s="46"/>
      <c r="S3" s="43"/>
      <c r="T3" s="119">
        <v>291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119">
        <v>544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70">
        <v>1</v>
      </c>
      <c r="BE3" s="47"/>
      <c r="BF3" s="46"/>
      <c r="BG3" s="43"/>
      <c r="BH3" s="170">
        <v>1</v>
      </c>
      <c r="BI3" s="47"/>
      <c r="BJ3" s="77"/>
      <c r="BK3" s="86">
        <v>3</v>
      </c>
      <c r="BL3" s="119">
        <v>2</v>
      </c>
      <c r="BM3" s="45"/>
      <c r="BN3" s="80"/>
      <c r="BO3" s="86">
        <v>2</v>
      </c>
      <c r="BP3" s="119">
        <v>1</v>
      </c>
      <c r="BQ3" s="43"/>
      <c r="BR3" s="77"/>
      <c r="BS3" s="110">
        <v>2</v>
      </c>
      <c r="BT3" s="122">
        <v>1</v>
      </c>
      <c r="BU3" s="45"/>
      <c r="BV3" s="80"/>
    </row>
    <row r="4" spans="1:74" s="1" customFormat="1" ht="18.75" customHeight="1" x14ac:dyDescent="0.25">
      <c r="A4" s="165"/>
      <c r="B4" s="73" t="s">
        <v>208</v>
      </c>
      <c r="C4" s="43"/>
      <c r="D4" s="119">
        <v>125</v>
      </c>
      <c r="E4" s="43"/>
      <c r="F4" s="44"/>
      <c r="G4" s="43"/>
      <c r="H4" s="46"/>
      <c r="I4" s="45"/>
      <c r="J4" s="46"/>
      <c r="K4" s="43"/>
      <c r="L4" s="119">
        <v>113</v>
      </c>
      <c r="M4" s="43"/>
      <c r="N4" s="44"/>
      <c r="O4" s="43"/>
      <c r="P4" s="46"/>
      <c r="Q4" s="45"/>
      <c r="R4" s="46"/>
      <c r="S4" s="43"/>
      <c r="T4" s="119">
        <v>71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100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70">
        <v>1</v>
      </c>
      <c r="BE4" s="47"/>
      <c r="BF4" s="46"/>
      <c r="BG4" s="43"/>
      <c r="BH4" s="170">
        <v>1</v>
      </c>
      <c r="BI4" s="47"/>
      <c r="BJ4" s="77"/>
      <c r="BK4" s="123"/>
      <c r="BL4" s="171">
        <v>0</v>
      </c>
      <c r="BM4" s="124"/>
      <c r="BN4" s="125"/>
      <c r="BO4" s="110">
        <v>2</v>
      </c>
      <c r="BP4" s="119">
        <v>1</v>
      </c>
      <c r="BQ4" s="43"/>
      <c r="BR4" s="77"/>
      <c r="BS4" s="43"/>
      <c r="BT4" s="122">
        <v>1</v>
      </c>
      <c r="BU4" s="45"/>
      <c r="BV4" s="80"/>
    </row>
    <row r="5" spans="1:74" s="1" customFormat="1" ht="18.75" x14ac:dyDescent="0.25">
      <c r="A5" s="165"/>
      <c r="B5" s="73" t="s">
        <v>245</v>
      </c>
      <c r="C5" s="43"/>
      <c r="D5" s="119">
        <v>125</v>
      </c>
      <c r="E5" s="43"/>
      <c r="F5" s="44"/>
      <c r="G5" s="43"/>
      <c r="H5" s="46"/>
      <c r="I5" s="45"/>
      <c r="J5" s="46"/>
      <c r="K5" s="43"/>
      <c r="L5" s="119">
        <v>125</v>
      </c>
      <c r="M5" s="43"/>
      <c r="N5" s="44"/>
      <c r="O5" s="43"/>
      <c r="P5" s="46"/>
      <c r="Q5" s="45"/>
      <c r="R5" s="46"/>
      <c r="S5" s="43"/>
      <c r="T5" s="119">
        <v>125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124</v>
      </c>
      <c r="AF5" s="46"/>
      <c r="AG5" s="47"/>
      <c r="AH5" s="46"/>
      <c r="AI5" s="43"/>
      <c r="AJ5" s="109">
        <v>100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70">
        <v>1</v>
      </c>
      <c r="BE5" s="47"/>
      <c r="BF5" s="46"/>
      <c r="BG5" s="43"/>
      <c r="BH5" s="170">
        <v>1</v>
      </c>
      <c r="BI5" s="47"/>
      <c r="BJ5" s="77"/>
      <c r="BK5" s="110">
        <v>2</v>
      </c>
      <c r="BL5" s="119">
        <v>4</v>
      </c>
      <c r="BM5" s="45"/>
      <c r="BN5" s="80"/>
      <c r="BO5" s="110">
        <v>2</v>
      </c>
      <c r="BP5" s="119">
        <v>1</v>
      </c>
      <c r="BQ5" s="43"/>
      <c r="BR5" s="77"/>
      <c r="BS5" s="91"/>
      <c r="BT5" s="92"/>
      <c r="BU5" s="93"/>
      <c r="BV5" s="93"/>
    </row>
    <row r="6" spans="1:74" s="1" customFormat="1" ht="18.75" x14ac:dyDescent="0.25">
      <c r="A6" s="165"/>
      <c r="B6" s="73" t="s">
        <v>179</v>
      </c>
      <c r="C6" s="43"/>
      <c r="D6" s="118">
        <v>332</v>
      </c>
      <c r="E6" s="43"/>
      <c r="F6" s="44"/>
      <c r="G6" s="43"/>
      <c r="H6" s="46"/>
      <c r="I6" s="45"/>
      <c r="J6" s="46"/>
      <c r="K6" s="43"/>
      <c r="L6" s="119">
        <v>230</v>
      </c>
      <c r="M6" s="43"/>
      <c r="N6" s="44"/>
      <c r="O6" s="43"/>
      <c r="P6" s="46"/>
      <c r="Q6" s="45"/>
      <c r="R6" s="46"/>
      <c r="S6" s="43"/>
      <c r="T6" s="119">
        <v>260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119">
        <v>128</v>
      </c>
      <c r="AF6" s="46"/>
      <c r="AG6" s="47"/>
      <c r="AH6" s="46"/>
      <c r="AI6" s="43"/>
      <c r="AJ6" s="109">
        <v>119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70">
        <v>1</v>
      </c>
      <c r="BE6" s="47"/>
      <c r="BF6" s="46"/>
      <c r="BG6" s="43"/>
      <c r="BH6" s="170">
        <v>1</v>
      </c>
      <c r="BI6" s="47"/>
      <c r="BJ6" s="77"/>
      <c r="BK6" s="86">
        <v>2</v>
      </c>
      <c r="BL6" s="119">
        <v>3</v>
      </c>
      <c r="BM6" s="45"/>
      <c r="BN6" s="80"/>
      <c r="BO6" s="86">
        <v>1</v>
      </c>
      <c r="BP6" s="119">
        <v>1</v>
      </c>
      <c r="BQ6" s="43"/>
      <c r="BR6" s="77"/>
      <c r="BS6" s="91">
        <v>2</v>
      </c>
      <c r="BT6" s="91"/>
      <c r="BU6" s="91"/>
      <c r="BV6" s="91"/>
    </row>
    <row r="7" spans="1:74" s="1" customFormat="1" ht="18.75" x14ac:dyDescent="0.25">
      <c r="A7" s="165"/>
      <c r="B7" s="73" t="s">
        <v>180</v>
      </c>
      <c r="C7" s="43"/>
      <c r="D7" s="119">
        <v>125</v>
      </c>
      <c r="E7" s="43"/>
      <c r="F7" s="44"/>
      <c r="G7" s="43"/>
      <c r="H7" s="46"/>
      <c r="I7" s="45"/>
      <c r="J7" s="46"/>
      <c r="K7" s="43"/>
      <c r="L7" s="119">
        <v>100</v>
      </c>
      <c r="M7" s="43"/>
      <c r="N7" s="44"/>
      <c r="O7" s="43"/>
      <c r="P7" s="46"/>
      <c r="Q7" s="45"/>
      <c r="R7" s="46"/>
      <c r="S7" s="43"/>
      <c r="T7" s="119">
        <v>60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109">
        <v>160</v>
      </c>
      <c r="AF7" s="46"/>
      <c r="AG7" s="47"/>
      <c r="AH7" s="46"/>
      <c r="AI7" s="43"/>
      <c r="AJ7" s="168">
        <v>0</v>
      </c>
      <c r="AK7" s="45"/>
      <c r="AL7" s="44"/>
      <c r="AM7" s="43"/>
      <c r="AN7" s="46"/>
      <c r="AO7" s="43"/>
      <c r="AP7" s="46"/>
      <c r="AQ7" s="43"/>
      <c r="AR7" s="44"/>
      <c r="AS7" s="45"/>
      <c r="AT7" s="77"/>
      <c r="AU7" s="43"/>
      <c r="AV7" s="46"/>
      <c r="AW7" s="47"/>
      <c r="AX7" s="46"/>
      <c r="AY7" s="43"/>
      <c r="AZ7" s="44"/>
      <c r="BA7" s="45"/>
      <c r="BB7" s="77"/>
      <c r="BC7" s="43"/>
      <c r="BD7" s="170">
        <v>1</v>
      </c>
      <c r="BE7" s="47"/>
      <c r="BF7" s="46"/>
      <c r="BG7" s="43"/>
      <c r="BH7" s="170">
        <v>1</v>
      </c>
      <c r="BI7" s="47"/>
      <c r="BJ7" s="77"/>
      <c r="BK7" s="110">
        <v>2</v>
      </c>
      <c r="BL7" s="119">
        <v>2</v>
      </c>
      <c r="BM7" s="45"/>
      <c r="BN7" s="80"/>
      <c r="BO7" s="110">
        <v>2</v>
      </c>
      <c r="BP7" s="119">
        <v>2</v>
      </c>
      <c r="BQ7" s="45"/>
      <c r="BR7" s="77"/>
      <c r="BS7" s="91"/>
      <c r="BT7" s="92"/>
      <c r="BU7" s="93"/>
      <c r="BV7" s="92"/>
    </row>
    <row r="8" spans="1:74" s="1" customFormat="1" ht="18.75" x14ac:dyDescent="0.25">
      <c r="A8" s="165"/>
      <c r="B8" s="73" t="s">
        <v>181</v>
      </c>
      <c r="C8" s="43"/>
      <c r="D8" s="118">
        <v>206</v>
      </c>
      <c r="E8" s="43"/>
      <c r="F8" s="44"/>
      <c r="G8" s="43"/>
      <c r="H8" s="46"/>
      <c r="I8" s="45"/>
      <c r="J8" s="46"/>
      <c r="K8" s="43"/>
      <c r="L8" s="119">
        <v>279</v>
      </c>
      <c r="M8" s="43"/>
      <c r="N8" s="44"/>
      <c r="O8" s="43"/>
      <c r="P8" s="46"/>
      <c r="Q8" s="45"/>
      <c r="R8" s="46"/>
      <c r="S8" s="43"/>
      <c r="T8" s="119">
        <v>254</v>
      </c>
      <c r="U8" s="45"/>
      <c r="V8" s="44"/>
      <c r="W8" s="43"/>
      <c r="X8" s="46"/>
      <c r="Y8" s="43"/>
      <c r="Z8" s="46"/>
      <c r="AA8" s="43"/>
      <c r="AB8" s="44"/>
      <c r="AC8" s="45"/>
      <c r="AD8" s="44"/>
      <c r="AE8" s="109">
        <v>560</v>
      </c>
      <c r="AF8" s="46"/>
      <c r="AG8" s="47"/>
      <c r="AH8" s="46"/>
      <c r="AI8" s="43"/>
      <c r="AJ8" s="168">
        <v>0</v>
      </c>
      <c r="AK8" s="45"/>
      <c r="AL8" s="44"/>
      <c r="AM8" s="43"/>
      <c r="AN8" s="46"/>
      <c r="AO8" s="43"/>
      <c r="AP8" s="46"/>
      <c r="AQ8" s="43"/>
      <c r="AR8" s="44"/>
      <c r="AS8" s="45"/>
      <c r="AT8" s="79"/>
      <c r="AU8" s="43"/>
      <c r="AV8" s="46"/>
      <c r="AW8" s="47"/>
      <c r="AX8" s="46"/>
      <c r="AY8" s="43"/>
      <c r="AZ8" s="44"/>
      <c r="BA8" s="45"/>
      <c r="BB8" s="77"/>
      <c r="BC8" s="43"/>
      <c r="BD8" s="170">
        <v>1</v>
      </c>
      <c r="BE8" s="47"/>
      <c r="BF8" s="46"/>
      <c r="BG8" s="43"/>
      <c r="BH8" s="170">
        <v>1</v>
      </c>
      <c r="BI8" s="47"/>
      <c r="BJ8" s="77"/>
      <c r="BK8" s="111" t="s">
        <v>234</v>
      </c>
      <c r="BL8" s="119">
        <v>2</v>
      </c>
      <c r="BM8" s="43"/>
      <c r="BN8" s="80"/>
      <c r="BO8" s="111" t="s">
        <v>235</v>
      </c>
      <c r="BP8" s="119">
        <v>3</v>
      </c>
      <c r="BQ8" s="45"/>
      <c r="BR8" s="77"/>
      <c r="BS8" s="91"/>
      <c r="BT8" s="91"/>
      <c r="BU8" s="91"/>
      <c r="BV8" s="92"/>
    </row>
    <row r="9" spans="1:74" s="1" customFormat="1" ht="18.75" x14ac:dyDescent="0.25">
      <c r="A9" s="165"/>
      <c r="B9" s="73" t="s">
        <v>182</v>
      </c>
      <c r="C9" s="43"/>
      <c r="D9" s="119">
        <v>264</v>
      </c>
      <c r="E9" s="43"/>
      <c r="F9" s="44"/>
      <c r="G9" s="43"/>
      <c r="H9" s="46"/>
      <c r="I9" s="45"/>
      <c r="J9" s="46"/>
      <c r="K9" s="43"/>
      <c r="L9" s="119">
        <v>266</v>
      </c>
      <c r="M9" s="43"/>
      <c r="N9" s="44"/>
      <c r="O9" s="43"/>
      <c r="P9" s="46"/>
      <c r="Q9" s="45"/>
      <c r="R9" s="46"/>
      <c r="S9" s="43"/>
      <c r="T9" s="119">
        <v>82</v>
      </c>
      <c r="U9" s="45"/>
      <c r="V9" s="44"/>
      <c r="W9" s="43"/>
      <c r="X9" s="46"/>
      <c r="Y9" s="43"/>
      <c r="Z9" s="46"/>
      <c r="AA9" s="43"/>
      <c r="AB9" s="44"/>
      <c r="AC9" s="45"/>
      <c r="AD9" s="44"/>
      <c r="AE9" s="109">
        <v>891</v>
      </c>
      <c r="AF9" s="46"/>
      <c r="AG9" s="47"/>
      <c r="AH9" s="46"/>
      <c r="AI9" s="43"/>
      <c r="AJ9" s="168">
        <v>0</v>
      </c>
      <c r="AK9" s="45"/>
      <c r="AL9" s="44"/>
      <c r="AM9" s="43"/>
      <c r="AN9" s="46"/>
      <c r="AO9" s="43"/>
      <c r="AP9" s="46"/>
      <c r="AQ9" s="43"/>
      <c r="AR9" s="44"/>
      <c r="AS9" s="45"/>
      <c r="AT9" s="77"/>
      <c r="AU9" s="43"/>
      <c r="AV9" s="46"/>
      <c r="AW9" s="47"/>
      <c r="AX9" s="46"/>
      <c r="AY9" s="43"/>
      <c r="AZ9" s="44"/>
      <c r="BA9" s="45"/>
      <c r="BB9" s="77"/>
      <c r="BC9" s="43"/>
      <c r="BD9" s="170">
        <v>1</v>
      </c>
      <c r="BE9" s="47"/>
      <c r="BF9" s="46"/>
      <c r="BG9" s="43"/>
      <c r="BH9" s="170">
        <v>1</v>
      </c>
      <c r="BI9" s="47"/>
      <c r="BJ9" s="77"/>
      <c r="BK9" s="110">
        <v>2</v>
      </c>
      <c r="BL9" s="119">
        <v>2</v>
      </c>
      <c r="BM9" s="45"/>
      <c r="BN9" s="80"/>
      <c r="BO9" s="86">
        <v>1</v>
      </c>
      <c r="BP9" s="119">
        <v>2</v>
      </c>
      <c r="BQ9" s="45"/>
      <c r="BR9" s="77"/>
      <c r="BS9" s="91"/>
      <c r="BT9" s="92"/>
      <c r="BU9" s="93"/>
      <c r="BV9" s="92"/>
    </row>
    <row r="10" spans="1:74" s="1" customFormat="1" ht="18.75" x14ac:dyDescent="0.25">
      <c r="A10" s="165"/>
      <c r="B10" s="73" t="s">
        <v>183</v>
      </c>
      <c r="C10" s="43"/>
      <c r="D10" s="119">
        <v>125</v>
      </c>
      <c r="E10" s="43"/>
      <c r="F10" s="44"/>
      <c r="G10" s="43"/>
      <c r="H10" s="46"/>
      <c r="I10" s="45"/>
      <c r="J10" s="46"/>
      <c r="K10" s="43"/>
      <c r="L10" s="119">
        <v>100</v>
      </c>
      <c r="M10" s="43"/>
      <c r="N10" s="44"/>
      <c r="O10" s="43"/>
      <c r="P10" s="46"/>
      <c r="Q10" s="45"/>
      <c r="R10" s="46"/>
      <c r="S10" s="43"/>
      <c r="T10" s="119">
        <v>50</v>
      </c>
      <c r="U10" s="45"/>
      <c r="V10" s="44"/>
      <c r="W10" s="43"/>
      <c r="X10" s="46"/>
      <c r="Y10" s="43"/>
      <c r="Z10" s="46"/>
      <c r="AA10" s="43"/>
      <c r="AB10" s="44"/>
      <c r="AC10" s="45"/>
      <c r="AD10" s="44"/>
      <c r="AE10" s="109">
        <v>156</v>
      </c>
      <c r="AF10" s="46"/>
      <c r="AG10" s="47"/>
      <c r="AH10" s="46"/>
      <c r="AI10" s="43"/>
      <c r="AJ10" s="168">
        <v>0</v>
      </c>
      <c r="AK10" s="45"/>
      <c r="AL10" s="44"/>
      <c r="AM10" s="43"/>
      <c r="AN10" s="46"/>
      <c r="AO10" s="43"/>
      <c r="AP10" s="46"/>
      <c r="AQ10" s="43"/>
      <c r="AR10" s="44"/>
      <c r="AS10" s="45"/>
      <c r="AT10" s="79"/>
      <c r="AU10" s="43"/>
      <c r="AV10" s="46"/>
      <c r="AW10" s="47"/>
      <c r="AX10" s="46"/>
      <c r="AY10" s="43"/>
      <c r="AZ10" s="44"/>
      <c r="BA10" s="45"/>
      <c r="BB10" s="77"/>
      <c r="BC10" s="43"/>
      <c r="BD10" s="170">
        <v>1</v>
      </c>
      <c r="BE10" s="47"/>
      <c r="BF10" s="46"/>
      <c r="BG10" s="43"/>
      <c r="BH10" s="170">
        <v>1</v>
      </c>
      <c r="BI10" s="47"/>
      <c r="BJ10" s="77"/>
      <c r="BK10" s="110">
        <v>2</v>
      </c>
      <c r="BL10" s="119">
        <v>2</v>
      </c>
      <c r="BM10" s="45"/>
      <c r="BN10" s="80"/>
      <c r="BO10" s="110">
        <v>2</v>
      </c>
      <c r="BP10" s="119">
        <v>2</v>
      </c>
      <c r="BQ10" s="45"/>
      <c r="BR10" s="77"/>
      <c r="BS10" s="91"/>
      <c r="BT10" s="92"/>
      <c r="BU10" s="93"/>
      <c r="BV10" s="92"/>
    </row>
    <row r="11" spans="1:74" s="1" customFormat="1" ht="18.75" x14ac:dyDescent="0.25">
      <c r="A11" s="165"/>
      <c r="B11" s="73" t="s">
        <v>184</v>
      </c>
      <c r="C11" s="43"/>
      <c r="D11" s="118">
        <v>125</v>
      </c>
      <c r="E11" s="43"/>
      <c r="F11" s="44"/>
      <c r="G11" s="43"/>
      <c r="H11" s="46"/>
      <c r="I11" s="45"/>
      <c r="J11" s="46"/>
      <c r="K11" s="43"/>
      <c r="L11" s="119">
        <v>135</v>
      </c>
      <c r="M11" s="43"/>
      <c r="N11" s="44"/>
      <c r="O11" s="43"/>
      <c r="P11" s="46"/>
      <c r="Q11" s="45"/>
      <c r="R11" s="46"/>
      <c r="S11" s="43"/>
      <c r="T11" s="119">
        <v>132</v>
      </c>
      <c r="U11" s="45"/>
      <c r="V11" s="44"/>
      <c r="W11" s="43"/>
      <c r="X11" s="46"/>
      <c r="Y11" s="43"/>
      <c r="Z11" s="46"/>
      <c r="AA11" s="43"/>
      <c r="AB11" s="44"/>
      <c r="AC11" s="45"/>
      <c r="AD11" s="44"/>
      <c r="AE11" s="109">
        <v>1300</v>
      </c>
      <c r="AF11" s="46"/>
      <c r="AG11" s="47"/>
      <c r="AH11" s="46"/>
      <c r="AI11" s="43"/>
      <c r="AJ11" s="168">
        <v>0</v>
      </c>
      <c r="AK11" s="45"/>
      <c r="AL11" s="44"/>
      <c r="AM11" s="43"/>
      <c r="AN11" s="46"/>
      <c r="AO11" s="43"/>
      <c r="AP11" s="46"/>
      <c r="AQ11" s="43"/>
      <c r="AR11" s="44"/>
      <c r="AS11" s="45"/>
      <c r="AT11" s="77"/>
      <c r="AU11" s="43"/>
      <c r="AV11" s="46"/>
      <c r="AW11" s="47"/>
      <c r="AX11" s="46"/>
      <c r="AY11" s="43"/>
      <c r="AZ11" s="44"/>
      <c r="BA11" s="45"/>
      <c r="BB11" s="77"/>
      <c r="BC11" s="43"/>
      <c r="BD11" s="170">
        <v>1</v>
      </c>
      <c r="BE11" s="47"/>
      <c r="BF11" s="46"/>
      <c r="BG11" s="43"/>
      <c r="BH11" s="170">
        <v>1</v>
      </c>
      <c r="BI11" s="43"/>
      <c r="BJ11" s="77"/>
      <c r="BK11" s="86">
        <v>2</v>
      </c>
      <c r="BL11" s="119">
        <v>3</v>
      </c>
      <c r="BM11" s="45"/>
      <c r="BN11" s="80"/>
      <c r="BO11" s="86">
        <v>2</v>
      </c>
      <c r="BP11" s="119">
        <v>3</v>
      </c>
      <c r="BQ11" s="45"/>
      <c r="BR11" s="77"/>
      <c r="BS11" s="86">
        <v>1</v>
      </c>
      <c r="BT11" s="119">
        <v>2</v>
      </c>
      <c r="BU11" s="45"/>
      <c r="BV11" s="80"/>
    </row>
    <row r="12" spans="1:74" s="6" customFormat="1" ht="19.5" x14ac:dyDescent="0.3">
      <c r="A12" s="84"/>
      <c r="B12" s="28"/>
      <c r="C12" s="83">
        <f t="shared" ref="C12:AH12" si="0">SUM(C3:C11)</f>
        <v>0</v>
      </c>
      <c r="D12" s="27">
        <f t="shared" si="0"/>
        <v>1718</v>
      </c>
      <c r="E12" s="27">
        <f t="shared" si="0"/>
        <v>0</v>
      </c>
      <c r="F12" s="27">
        <f t="shared" si="0"/>
        <v>0</v>
      </c>
      <c r="G12" s="27">
        <f t="shared" si="0"/>
        <v>0</v>
      </c>
      <c r="H12" s="27">
        <f t="shared" si="0"/>
        <v>0</v>
      </c>
      <c r="I12" s="27">
        <f t="shared" si="0"/>
        <v>0</v>
      </c>
      <c r="J12" s="27">
        <f t="shared" si="0"/>
        <v>0</v>
      </c>
      <c r="K12" s="27">
        <f t="shared" si="0"/>
        <v>0</v>
      </c>
      <c r="L12" s="27">
        <f t="shared" si="0"/>
        <v>1639</v>
      </c>
      <c r="M12" s="27">
        <f t="shared" si="0"/>
        <v>0</v>
      </c>
      <c r="N12" s="27">
        <f t="shared" si="0"/>
        <v>0</v>
      </c>
      <c r="O12" s="27">
        <f t="shared" si="0"/>
        <v>0</v>
      </c>
      <c r="P12" s="27">
        <f t="shared" si="0"/>
        <v>0</v>
      </c>
      <c r="Q12" s="27">
        <f t="shared" si="0"/>
        <v>0</v>
      </c>
      <c r="R12" s="27">
        <f t="shared" si="0"/>
        <v>0</v>
      </c>
      <c r="S12" s="27">
        <f t="shared" si="0"/>
        <v>0</v>
      </c>
      <c r="T12" s="27">
        <f t="shared" si="0"/>
        <v>1325</v>
      </c>
      <c r="U12" s="27">
        <f t="shared" si="0"/>
        <v>0</v>
      </c>
      <c r="V12" s="27">
        <f t="shared" si="0"/>
        <v>0</v>
      </c>
      <c r="W12" s="27">
        <f t="shared" si="0"/>
        <v>0</v>
      </c>
      <c r="X12" s="27">
        <f t="shared" si="0"/>
        <v>0</v>
      </c>
      <c r="Y12" s="27">
        <f t="shared" si="0"/>
        <v>0</v>
      </c>
      <c r="Z12" s="27">
        <f t="shared" si="0"/>
        <v>0</v>
      </c>
      <c r="AA12" s="27">
        <f t="shared" si="0"/>
        <v>0</v>
      </c>
      <c r="AB12" s="27">
        <f t="shared" si="0"/>
        <v>0</v>
      </c>
      <c r="AC12" s="27">
        <f t="shared" si="0"/>
        <v>0</v>
      </c>
      <c r="AD12" s="27">
        <f t="shared" si="0"/>
        <v>0</v>
      </c>
      <c r="AE12" s="27">
        <f t="shared" si="0"/>
        <v>3963</v>
      </c>
      <c r="AF12" s="27">
        <f t="shared" si="0"/>
        <v>0</v>
      </c>
      <c r="AG12" s="27">
        <f t="shared" si="0"/>
        <v>0</v>
      </c>
      <c r="AH12" s="27">
        <f t="shared" si="0"/>
        <v>0</v>
      </c>
      <c r="AI12" s="27">
        <f t="shared" ref="AI12:BN12" si="1">SUM(AI3:AI11)</f>
        <v>0</v>
      </c>
      <c r="AJ12" s="27">
        <f t="shared" si="1"/>
        <v>219</v>
      </c>
      <c r="AK12" s="27">
        <f t="shared" si="1"/>
        <v>0</v>
      </c>
      <c r="AL12" s="27">
        <f t="shared" si="1"/>
        <v>0</v>
      </c>
      <c r="AM12" s="27">
        <f t="shared" si="1"/>
        <v>0</v>
      </c>
      <c r="AN12" s="27">
        <f t="shared" si="1"/>
        <v>0</v>
      </c>
      <c r="AO12" s="27">
        <f t="shared" si="1"/>
        <v>0</v>
      </c>
      <c r="AP12" s="27">
        <f t="shared" si="1"/>
        <v>0</v>
      </c>
      <c r="AQ12" s="27">
        <f t="shared" si="1"/>
        <v>0</v>
      </c>
      <c r="AR12" s="27">
        <f t="shared" si="1"/>
        <v>0</v>
      </c>
      <c r="AS12" s="27">
        <f t="shared" si="1"/>
        <v>0</v>
      </c>
      <c r="AT12" s="27">
        <f t="shared" si="1"/>
        <v>0</v>
      </c>
      <c r="AU12" s="27">
        <f t="shared" si="1"/>
        <v>0</v>
      </c>
      <c r="AV12" s="27">
        <f t="shared" si="1"/>
        <v>0</v>
      </c>
      <c r="AW12" s="27">
        <f t="shared" si="1"/>
        <v>0</v>
      </c>
      <c r="AX12" s="27">
        <f t="shared" si="1"/>
        <v>0</v>
      </c>
      <c r="AY12" s="27">
        <f t="shared" si="1"/>
        <v>0</v>
      </c>
      <c r="AZ12" s="27">
        <f t="shared" si="1"/>
        <v>0</v>
      </c>
      <c r="BA12" s="27">
        <f t="shared" si="1"/>
        <v>0</v>
      </c>
      <c r="BB12" s="27">
        <f t="shared" si="1"/>
        <v>0</v>
      </c>
      <c r="BC12" s="27">
        <f t="shared" si="1"/>
        <v>0</v>
      </c>
      <c r="BD12" s="27"/>
      <c r="BE12" s="27">
        <f t="shared" si="1"/>
        <v>0</v>
      </c>
      <c r="BF12" s="27">
        <f t="shared" si="1"/>
        <v>0</v>
      </c>
      <c r="BG12" s="27">
        <f t="shared" si="1"/>
        <v>0</v>
      </c>
      <c r="BH12" s="27"/>
      <c r="BI12" s="27">
        <f t="shared" si="1"/>
        <v>0</v>
      </c>
      <c r="BJ12" s="27">
        <f t="shared" si="1"/>
        <v>0</v>
      </c>
      <c r="BK12" s="27">
        <f t="shared" si="1"/>
        <v>15</v>
      </c>
      <c r="BL12" s="27">
        <f t="shared" si="1"/>
        <v>20</v>
      </c>
      <c r="BM12" s="27">
        <f t="shared" si="1"/>
        <v>0</v>
      </c>
      <c r="BN12" s="27">
        <f t="shared" si="1"/>
        <v>0</v>
      </c>
      <c r="BO12" s="27">
        <f t="shared" ref="BO12:BV12" si="2">SUM(BO3:BO11)</f>
        <v>14</v>
      </c>
      <c r="BP12" s="27">
        <f t="shared" si="2"/>
        <v>16</v>
      </c>
      <c r="BQ12" s="27">
        <f t="shared" si="2"/>
        <v>0</v>
      </c>
      <c r="BR12" s="27">
        <f t="shared" si="2"/>
        <v>0</v>
      </c>
      <c r="BS12" s="27">
        <f t="shared" si="2"/>
        <v>5</v>
      </c>
      <c r="BT12" s="27">
        <f t="shared" si="2"/>
        <v>4</v>
      </c>
      <c r="BU12" s="27">
        <f t="shared" si="2"/>
        <v>0</v>
      </c>
      <c r="BV12" s="27">
        <f t="shared" si="2"/>
        <v>0</v>
      </c>
    </row>
    <row r="13" spans="1:74" s="7" customFormat="1" ht="21" x14ac:dyDescent="0.35">
      <c r="A13" s="6"/>
      <c r="B13" s="8" t="s">
        <v>7</v>
      </c>
      <c r="C13" s="85">
        <f>SUM(C12+D12+E12+F12)</f>
        <v>1718</v>
      </c>
      <c r="D13" s="9"/>
      <c r="E13" s="9"/>
      <c r="F13" s="9"/>
      <c r="G13" s="8">
        <f>SUM(G12+H12+I12+J12)</f>
        <v>0</v>
      </c>
      <c r="H13" s="9"/>
      <c r="I13" s="9"/>
      <c r="J13" s="9"/>
      <c r="K13" s="8">
        <f>SUM(K12+L12+M12+N12)</f>
        <v>1639</v>
      </c>
      <c r="L13" s="9"/>
      <c r="M13" s="9"/>
      <c r="N13" s="9"/>
      <c r="O13" s="8">
        <f>SUM(O12+P12+Q12+R12)</f>
        <v>0</v>
      </c>
      <c r="P13" s="9"/>
      <c r="Q13" s="9"/>
      <c r="R13" s="9"/>
      <c r="S13" s="8">
        <f>SUM(S12+T12+U12+V12)</f>
        <v>1325</v>
      </c>
      <c r="T13" s="9"/>
      <c r="U13" s="9"/>
      <c r="V13" s="9"/>
      <c r="W13" s="8">
        <f>SUM(W12+X12+Y12+Z12)</f>
        <v>0</v>
      </c>
      <c r="X13" s="9"/>
      <c r="Y13" s="9"/>
      <c r="Z13" s="9"/>
      <c r="AA13" s="8">
        <f>SUM(AA12+AB12+AC12+AD12)</f>
        <v>0</v>
      </c>
      <c r="AB13" s="9"/>
      <c r="AC13" s="9"/>
      <c r="AD13" s="9"/>
      <c r="AE13" s="8">
        <f>SUM(AE12:AH12)</f>
        <v>3963</v>
      </c>
      <c r="AF13" s="9"/>
      <c r="AG13" s="9"/>
      <c r="AH13" s="9"/>
      <c r="AI13" s="8">
        <f>SUM(AI12+AJ12+AK12+AL12)</f>
        <v>219</v>
      </c>
      <c r="AJ13" s="9"/>
      <c r="AK13" s="9"/>
      <c r="AL13" s="9"/>
      <c r="AM13" s="8">
        <f>SUM(AM12+AN12+AO12+AP12)</f>
        <v>0</v>
      </c>
      <c r="AN13" s="9"/>
      <c r="AO13" s="9"/>
      <c r="AP13" s="9"/>
      <c r="AQ13" s="8">
        <f>SUM(AQ12+AR12+AS12+AT12)</f>
        <v>0</v>
      </c>
      <c r="AR13" s="9"/>
      <c r="AS13" s="9"/>
      <c r="AT13" s="9"/>
      <c r="AU13" s="8">
        <f>SUM(AU12:AX12)</f>
        <v>0</v>
      </c>
      <c r="AV13" s="9"/>
      <c r="AW13" s="9"/>
      <c r="AX13" s="9"/>
      <c r="AY13" s="8">
        <f>SUM(AY12:BB12)</f>
        <v>0</v>
      </c>
      <c r="AZ13" s="9"/>
      <c r="BA13" s="9"/>
      <c r="BB13" s="9"/>
      <c r="BC13" s="8">
        <f>SUM(BC12:BF12)</f>
        <v>0</v>
      </c>
      <c r="BD13" s="9"/>
      <c r="BE13" s="9"/>
      <c r="BF13" s="9"/>
      <c r="BG13" s="8">
        <f>SUM(BG12:BJ12)</f>
        <v>0</v>
      </c>
      <c r="BH13" s="9"/>
      <c r="BI13" s="9"/>
      <c r="BJ13" s="9"/>
      <c r="BK13" s="8">
        <f>SUM(BK12:BN12)</f>
        <v>35</v>
      </c>
      <c r="BL13" s="9"/>
      <c r="BM13" s="9"/>
      <c r="BN13" s="9"/>
      <c r="BO13" s="8">
        <f>SUM(BO12:BR12)</f>
        <v>30</v>
      </c>
      <c r="BP13" s="9"/>
      <c r="BQ13" s="9"/>
      <c r="BR13" s="9"/>
      <c r="BS13" s="8">
        <f>SUM(BS12:BV12)</f>
        <v>9</v>
      </c>
      <c r="BT13" s="9"/>
      <c r="BU13" s="9"/>
      <c r="BV13" s="9"/>
    </row>
    <row r="14" spans="1:74" ht="21" x14ac:dyDescent="0.35">
      <c r="A14" s="7"/>
    </row>
  </sheetData>
  <mergeCells count="21">
    <mergeCell ref="B1:B2"/>
    <mergeCell ref="C1:F1"/>
    <mergeCell ref="G1:J1"/>
    <mergeCell ref="K1:N1"/>
    <mergeCell ref="O1:R1"/>
    <mergeCell ref="BO1:BR1"/>
    <mergeCell ref="BS1:BV1"/>
    <mergeCell ref="A3:A11"/>
    <mergeCell ref="AU1:AX1"/>
    <mergeCell ref="AY1:BB1"/>
    <mergeCell ref="BC1:BF1"/>
    <mergeCell ref="BG1:BJ1"/>
    <mergeCell ref="BK1:BN1"/>
    <mergeCell ref="AQ1:AT1"/>
    <mergeCell ref="S1:V1"/>
    <mergeCell ref="W1:Z1"/>
    <mergeCell ref="AA1:AD1"/>
    <mergeCell ref="AE1:AH1"/>
    <mergeCell ref="AI1:AL1"/>
    <mergeCell ref="AM1:AP1"/>
    <mergeCell ref="A1:A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V16"/>
  <sheetViews>
    <sheetView workbookViewId="0">
      <selection activeCell="D8" sqref="D8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243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190</v>
      </c>
      <c r="B3" s="73" t="s">
        <v>185</v>
      </c>
      <c r="C3" s="43"/>
      <c r="D3" s="119">
        <v>150</v>
      </c>
      <c r="E3" s="43"/>
      <c r="F3" s="44"/>
      <c r="G3" s="43"/>
      <c r="H3" s="46"/>
      <c r="I3" s="45"/>
      <c r="J3" s="46"/>
      <c r="K3" s="43"/>
      <c r="L3" s="119">
        <v>100</v>
      </c>
      <c r="M3" s="43"/>
      <c r="N3" s="44"/>
      <c r="O3" s="43"/>
      <c r="P3" s="46"/>
      <c r="Q3" s="45"/>
      <c r="R3" s="46"/>
      <c r="S3" s="43"/>
      <c r="T3" s="119">
        <v>80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1560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20">
        <v>1</v>
      </c>
      <c r="BE3" s="47"/>
      <c r="BF3" s="46"/>
      <c r="BG3" s="43"/>
      <c r="BH3" s="121">
        <v>1</v>
      </c>
      <c r="BI3" s="47"/>
      <c r="BJ3" s="77"/>
      <c r="BK3" s="86">
        <v>3</v>
      </c>
      <c r="BL3" s="119">
        <v>3</v>
      </c>
      <c r="BM3" s="45"/>
      <c r="BN3" s="80"/>
      <c r="BO3" s="86">
        <v>2</v>
      </c>
      <c r="BP3" s="119">
        <v>1</v>
      </c>
      <c r="BQ3" s="43"/>
      <c r="BR3" s="77"/>
      <c r="BS3" s="43"/>
      <c r="BT3" s="122">
        <v>1</v>
      </c>
      <c r="BU3" s="45"/>
      <c r="BV3" s="80"/>
    </row>
    <row r="4" spans="1:74" s="1" customFormat="1" ht="18.75" x14ac:dyDescent="0.25">
      <c r="A4" s="165"/>
      <c r="B4" s="73" t="s">
        <v>186</v>
      </c>
      <c r="C4" s="43"/>
      <c r="D4" s="119">
        <v>125</v>
      </c>
      <c r="E4" s="43"/>
      <c r="F4" s="44"/>
      <c r="G4" s="43"/>
      <c r="H4" s="46"/>
      <c r="I4" s="45"/>
      <c r="J4" s="46"/>
      <c r="K4" s="43"/>
      <c r="L4" s="119">
        <v>100</v>
      </c>
      <c r="M4" s="43"/>
      <c r="N4" s="44"/>
      <c r="O4" s="43"/>
      <c r="P4" s="46"/>
      <c r="Q4" s="45"/>
      <c r="R4" s="46"/>
      <c r="S4" s="43"/>
      <c r="T4" s="119">
        <v>50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995</v>
      </c>
      <c r="AF4" s="46"/>
      <c r="AG4" s="47"/>
      <c r="AH4" s="46"/>
      <c r="AI4" s="43"/>
      <c r="AJ4" s="119">
        <v>886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20">
        <v>1</v>
      </c>
      <c r="BE4" s="47"/>
      <c r="BF4" s="46"/>
      <c r="BG4" s="43"/>
      <c r="BH4" s="121">
        <v>1</v>
      </c>
      <c r="BI4" s="47"/>
      <c r="BJ4" s="77"/>
      <c r="BK4" s="86">
        <v>2</v>
      </c>
      <c r="BL4" s="119">
        <v>3</v>
      </c>
      <c r="BM4" s="45"/>
      <c r="BN4" s="80"/>
      <c r="BO4" s="86">
        <v>2</v>
      </c>
      <c r="BP4" s="119">
        <v>2</v>
      </c>
      <c r="BQ4" s="43"/>
      <c r="BR4" s="77"/>
      <c r="BS4" s="43"/>
      <c r="BT4" s="122">
        <v>2</v>
      </c>
      <c r="BU4" s="45"/>
      <c r="BV4" s="80"/>
    </row>
    <row r="5" spans="1:74" s="1" customFormat="1" ht="18.75" x14ac:dyDescent="0.25">
      <c r="A5" s="165"/>
      <c r="B5" s="73" t="s">
        <v>187</v>
      </c>
      <c r="C5" s="43"/>
      <c r="D5" s="119">
        <v>125</v>
      </c>
      <c r="E5" s="43"/>
      <c r="F5" s="44"/>
      <c r="G5" s="43"/>
      <c r="H5" s="46"/>
      <c r="I5" s="45"/>
      <c r="J5" s="46"/>
      <c r="K5" s="43"/>
      <c r="L5" s="119">
        <v>100</v>
      </c>
      <c r="M5" s="43"/>
      <c r="N5" s="44"/>
      <c r="O5" s="43"/>
      <c r="P5" s="46"/>
      <c r="Q5" s="45"/>
      <c r="R5" s="46"/>
      <c r="S5" s="43"/>
      <c r="T5" s="119">
        <v>50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476</v>
      </c>
      <c r="AF5" s="46"/>
      <c r="AG5" s="47"/>
      <c r="AH5" s="46"/>
      <c r="AI5" s="43"/>
      <c r="AJ5" s="119">
        <v>301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20">
        <v>1</v>
      </c>
      <c r="BE5" s="47"/>
      <c r="BF5" s="46"/>
      <c r="BG5" s="43"/>
      <c r="BH5" s="121">
        <v>1</v>
      </c>
      <c r="BI5" s="47"/>
      <c r="BJ5" s="77"/>
      <c r="BK5" s="86">
        <v>1</v>
      </c>
      <c r="BL5" s="119">
        <v>3</v>
      </c>
      <c r="BM5" s="45"/>
      <c r="BN5" s="80"/>
      <c r="BO5" s="43"/>
      <c r="BP5" s="168">
        <v>0</v>
      </c>
      <c r="BQ5" s="43"/>
      <c r="BR5" s="77"/>
      <c r="BS5" s="86">
        <v>1</v>
      </c>
      <c r="BT5" s="118">
        <v>3</v>
      </c>
      <c r="BU5" s="45"/>
      <c r="BV5" s="80"/>
    </row>
    <row r="6" spans="1:74" s="1" customFormat="1" ht="18.75" x14ac:dyDescent="0.25">
      <c r="A6" s="165"/>
      <c r="B6" s="73" t="s">
        <v>75</v>
      </c>
      <c r="C6" s="43"/>
      <c r="D6" s="119">
        <v>125</v>
      </c>
      <c r="E6" s="43"/>
      <c r="F6" s="44"/>
      <c r="G6" s="43"/>
      <c r="H6" s="46"/>
      <c r="I6" s="45"/>
      <c r="J6" s="46"/>
      <c r="K6" s="43"/>
      <c r="L6" s="119">
        <v>100</v>
      </c>
      <c r="M6" s="43"/>
      <c r="N6" s="44"/>
      <c r="O6" s="43"/>
      <c r="P6" s="46"/>
      <c r="Q6" s="45"/>
      <c r="R6" s="46"/>
      <c r="S6" s="43"/>
      <c r="T6" s="119">
        <v>50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190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20">
        <v>1</v>
      </c>
      <c r="BE6" s="47"/>
      <c r="BF6" s="46"/>
      <c r="BG6" s="43"/>
      <c r="BH6" s="121">
        <v>1</v>
      </c>
      <c r="BI6" s="47"/>
      <c r="BJ6" s="77"/>
      <c r="BK6" s="86">
        <v>2</v>
      </c>
      <c r="BL6" s="119">
        <v>2</v>
      </c>
      <c r="BM6" s="45"/>
      <c r="BN6" s="80"/>
      <c r="BO6" s="86">
        <v>2</v>
      </c>
      <c r="BP6" s="119">
        <v>2</v>
      </c>
      <c r="BQ6" s="43"/>
      <c r="BR6" s="77"/>
      <c r="BS6" s="91"/>
      <c r="BT6" s="92"/>
      <c r="BU6" s="93"/>
      <c r="BV6" s="93"/>
    </row>
    <row r="7" spans="1:74" s="1" customFormat="1" ht="18.75" x14ac:dyDescent="0.25">
      <c r="A7" s="165"/>
      <c r="B7" s="73" t="s">
        <v>188</v>
      </c>
      <c r="C7" s="43"/>
      <c r="D7" s="119">
        <v>127</v>
      </c>
      <c r="E7" s="43"/>
      <c r="F7" s="44"/>
      <c r="G7" s="43"/>
      <c r="H7" s="46"/>
      <c r="I7" s="45"/>
      <c r="J7" s="46"/>
      <c r="K7" s="43"/>
      <c r="L7" s="119">
        <v>105</v>
      </c>
      <c r="M7" s="43"/>
      <c r="N7" s="44"/>
      <c r="O7" s="43"/>
      <c r="P7" s="46"/>
      <c r="Q7" s="45"/>
      <c r="R7" s="46"/>
      <c r="S7" s="43"/>
      <c r="T7" s="119">
        <v>60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119">
        <v>115</v>
      </c>
      <c r="AF7" s="46"/>
      <c r="AG7" s="47"/>
      <c r="AH7" s="46"/>
      <c r="AI7" s="43"/>
      <c r="AJ7" s="168">
        <v>0</v>
      </c>
      <c r="AK7" s="45"/>
      <c r="AL7" s="44"/>
      <c r="AM7" s="43"/>
      <c r="AN7" s="46"/>
      <c r="AO7" s="43"/>
      <c r="AP7" s="46"/>
      <c r="AQ7" s="43"/>
      <c r="AR7" s="44"/>
      <c r="AS7" s="45"/>
      <c r="AT7" s="77"/>
      <c r="AU7" s="43"/>
      <c r="AV7" s="46"/>
      <c r="AW7" s="47"/>
      <c r="AX7" s="46"/>
      <c r="AY7" s="43"/>
      <c r="AZ7" s="44"/>
      <c r="BA7" s="45"/>
      <c r="BB7" s="77"/>
      <c r="BC7" s="43"/>
      <c r="BD7" s="120">
        <v>1</v>
      </c>
      <c r="BE7" s="47"/>
      <c r="BF7" s="46"/>
      <c r="BG7" s="43"/>
      <c r="BH7" s="121">
        <v>1</v>
      </c>
      <c r="BI7" s="47"/>
      <c r="BJ7" s="77"/>
      <c r="BK7" s="43"/>
      <c r="BL7" s="119">
        <v>1</v>
      </c>
      <c r="BM7" s="45"/>
      <c r="BN7" s="80"/>
      <c r="BO7" s="43"/>
      <c r="BP7" s="168">
        <v>0</v>
      </c>
      <c r="BQ7" s="45"/>
      <c r="BR7" s="77"/>
      <c r="BS7" s="91"/>
      <c r="BT7" s="92"/>
      <c r="BU7" s="93"/>
      <c r="BV7" s="92"/>
    </row>
    <row r="8" spans="1:74" s="1" customFormat="1" ht="18.75" x14ac:dyDescent="0.25">
      <c r="A8" s="165"/>
      <c r="B8" s="73" t="s">
        <v>76</v>
      </c>
      <c r="C8" s="43"/>
      <c r="D8" s="172">
        <v>124</v>
      </c>
      <c r="E8" s="43"/>
      <c r="F8" s="44"/>
      <c r="G8" s="43"/>
      <c r="H8" s="46"/>
      <c r="I8" s="45"/>
      <c r="J8" s="46"/>
      <c r="K8" s="43"/>
      <c r="L8" s="119">
        <v>123</v>
      </c>
      <c r="M8" s="43"/>
      <c r="N8" s="44"/>
      <c r="O8" s="43"/>
      <c r="P8" s="46"/>
      <c r="Q8" s="45"/>
      <c r="R8" s="46"/>
      <c r="S8" s="43"/>
      <c r="T8" s="119">
        <v>104</v>
      </c>
      <c r="U8" s="45"/>
      <c r="V8" s="44"/>
      <c r="W8" s="43"/>
      <c r="X8" s="46"/>
      <c r="Y8" s="43"/>
      <c r="Z8" s="46"/>
      <c r="AA8" s="43"/>
      <c r="AB8" s="44"/>
      <c r="AC8" s="45"/>
      <c r="AD8" s="44"/>
      <c r="AE8" s="119">
        <v>500</v>
      </c>
      <c r="AF8" s="46"/>
      <c r="AG8" s="47"/>
      <c r="AH8" s="46"/>
      <c r="AI8" s="43"/>
      <c r="AJ8" s="168">
        <v>0</v>
      </c>
      <c r="AK8" s="45"/>
      <c r="AL8" s="44"/>
      <c r="AM8" s="43"/>
      <c r="AN8" s="46"/>
      <c r="AO8" s="43"/>
      <c r="AP8" s="46"/>
      <c r="AQ8" s="43"/>
      <c r="AR8" s="44"/>
      <c r="AS8" s="45"/>
      <c r="AT8" s="79"/>
      <c r="AU8" s="43"/>
      <c r="AV8" s="46"/>
      <c r="AW8" s="47"/>
      <c r="AX8" s="46"/>
      <c r="AY8" s="43"/>
      <c r="AZ8" s="44"/>
      <c r="BA8" s="45"/>
      <c r="BB8" s="77"/>
      <c r="BC8" s="43"/>
      <c r="BD8" s="120">
        <v>1</v>
      </c>
      <c r="BE8" s="47"/>
      <c r="BF8" s="46"/>
      <c r="BG8" s="43"/>
      <c r="BH8" s="121">
        <v>1</v>
      </c>
      <c r="BI8" s="47"/>
      <c r="BJ8" s="77"/>
      <c r="BK8" s="86">
        <v>1</v>
      </c>
      <c r="BL8" s="119">
        <v>3</v>
      </c>
      <c r="BM8" s="43"/>
      <c r="BN8" s="80"/>
      <c r="BO8" s="86">
        <v>1</v>
      </c>
      <c r="BP8" s="119">
        <v>3</v>
      </c>
      <c r="BQ8" s="45"/>
      <c r="BR8" s="77"/>
      <c r="BS8" s="86">
        <v>2</v>
      </c>
      <c r="BT8" s="118">
        <v>3</v>
      </c>
      <c r="BU8" s="43"/>
      <c r="BV8" s="41"/>
    </row>
    <row r="9" spans="1:74" s="1" customFormat="1" ht="18.75" x14ac:dyDescent="0.25">
      <c r="A9" s="165"/>
      <c r="B9" s="73" t="s">
        <v>189</v>
      </c>
      <c r="C9" s="43"/>
      <c r="D9" s="119">
        <v>125</v>
      </c>
      <c r="E9" s="43"/>
      <c r="F9" s="44"/>
      <c r="G9" s="43"/>
      <c r="H9" s="46"/>
      <c r="I9" s="45"/>
      <c r="J9" s="46"/>
      <c r="K9" s="43"/>
      <c r="L9" s="119">
        <v>136</v>
      </c>
      <c r="M9" s="43"/>
      <c r="N9" s="44"/>
      <c r="O9" s="43"/>
      <c r="P9" s="46"/>
      <c r="Q9" s="45"/>
      <c r="R9" s="46"/>
      <c r="S9" s="43"/>
      <c r="T9" s="119">
        <v>50</v>
      </c>
      <c r="U9" s="45"/>
      <c r="V9" s="44"/>
      <c r="W9" s="43"/>
      <c r="X9" s="46"/>
      <c r="Y9" s="43"/>
      <c r="Z9" s="46"/>
      <c r="AA9" s="43"/>
      <c r="AB9" s="44"/>
      <c r="AC9" s="45"/>
      <c r="AD9" s="44"/>
      <c r="AE9" s="119">
        <v>354</v>
      </c>
      <c r="AF9" s="46"/>
      <c r="AG9" s="47"/>
      <c r="AH9" s="46"/>
      <c r="AI9" s="43"/>
      <c r="AJ9" s="168">
        <v>0</v>
      </c>
      <c r="AK9" s="45"/>
      <c r="AL9" s="44"/>
      <c r="AM9" s="43"/>
      <c r="AN9" s="46"/>
      <c r="AO9" s="43"/>
      <c r="AP9" s="46"/>
      <c r="AQ9" s="43"/>
      <c r="AR9" s="44"/>
      <c r="AS9" s="45"/>
      <c r="AT9" s="77"/>
      <c r="AU9" s="43"/>
      <c r="AV9" s="46"/>
      <c r="AW9" s="47"/>
      <c r="AX9" s="46"/>
      <c r="AY9" s="43"/>
      <c r="AZ9" s="44"/>
      <c r="BA9" s="45"/>
      <c r="BB9" s="77"/>
      <c r="BC9" s="43"/>
      <c r="BD9" s="120">
        <v>1</v>
      </c>
      <c r="BE9" s="47"/>
      <c r="BF9" s="46"/>
      <c r="BG9" s="43"/>
      <c r="BH9" s="121">
        <v>1</v>
      </c>
      <c r="BI9" s="47"/>
      <c r="BJ9" s="77"/>
      <c r="BK9" s="86">
        <v>2</v>
      </c>
      <c r="BL9" s="119">
        <v>2</v>
      </c>
      <c r="BM9" s="45"/>
      <c r="BN9" s="80"/>
      <c r="BO9" s="86">
        <v>2</v>
      </c>
      <c r="BP9" s="119">
        <v>3</v>
      </c>
      <c r="BQ9" s="45"/>
      <c r="BR9" s="77"/>
      <c r="BS9" s="91"/>
      <c r="BT9" s="92"/>
      <c r="BU9" s="93"/>
      <c r="BV9" s="92"/>
    </row>
    <row r="10" spans="1:74" s="1" customFormat="1" ht="18.75" x14ac:dyDescent="0.25">
      <c r="A10" s="165"/>
      <c r="B10" s="73" t="s">
        <v>77</v>
      </c>
      <c r="C10" s="43"/>
      <c r="D10" s="119">
        <v>125</v>
      </c>
      <c r="E10" s="43"/>
      <c r="F10" s="44"/>
      <c r="G10" s="43"/>
      <c r="H10" s="46"/>
      <c r="I10" s="45"/>
      <c r="J10" s="46"/>
      <c r="K10" s="43"/>
      <c r="L10" s="119">
        <v>100</v>
      </c>
      <c r="M10" s="43"/>
      <c r="N10" s="44"/>
      <c r="O10" s="43"/>
      <c r="P10" s="46"/>
      <c r="Q10" s="45"/>
      <c r="R10" s="46"/>
      <c r="S10" s="43"/>
      <c r="T10" s="119">
        <v>50</v>
      </c>
      <c r="U10" s="45"/>
      <c r="V10" s="44"/>
      <c r="W10" s="43"/>
      <c r="X10" s="46"/>
      <c r="Y10" s="43"/>
      <c r="Z10" s="46"/>
      <c r="AA10" s="43"/>
      <c r="AB10" s="44"/>
      <c r="AC10" s="45"/>
      <c r="AD10" s="44"/>
      <c r="AE10" s="87">
        <v>105</v>
      </c>
      <c r="AF10" s="46"/>
      <c r="AG10" s="47"/>
      <c r="AH10" s="46"/>
      <c r="AI10" s="43"/>
      <c r="AJ10" s="119">
        <v>100</v>
      </c>
      <c r="AK10" s="45"/>
      <c r="AL10" s="44"/>
      <c r="AM10" s="43"/>
      <c r="AN10" s="46"/>
      <c r="AO10" s="43"/>
      <c r="AP10" s="46"/>
      <c r="AQ10" s="43"/>
      <c r="AR10" s="44"/>
      <c r="AS10" s="45"/>
      <c r="AT10" s="79"/>
      <c r="AU10" s="43"/>
      <c r="AV10" s="46"/>
      <c r="AW10" s="47"/>
      <c r="AX10" s="46"/>
      <c r="AY10" s="43"/>
      <c r="AZ10" s="44"/>
      <c r="BA10" s="45"/>
      <c r="BB10" s="77"/>
      <c r="BC10" s="43"/>
      <c r="BD10" s="120">
        <v>1</v>
      </c>
      <c r="BE10" s="47"/>
      <c r="BF10" s="46"/>
      <c r="BG10" s="43"/>
      <c r="BH10" s="121">
        <v>1</v>
      </c>
      <c r="BI10" s="47"/>
      <c r="BJ10" s="77"/>
      <c r="BK10" s="86">
        <v>1</v>
      </c>
      <c r="BL10" s="119">
        <v>2</v>
      </c>
      <c r="BM10" s="45"/>
      <c r="BN10" s="80"/>
      <c r="BO10" s="43"/>
      <c r="BP10" s="168">
        <v>0</v>
      </c>
      <c r="BQ10" s="45"/>
      <c r="BR10" s="77"/>
      <c r="BS10" s="91"/>
      <c r="BT10" s="92"/>
      <c r="BU10" s="93"/>
      <c r="BV10" s="92"/>
    </row>
    <row r="11" spans="1:74" s="1" customFormat="1" ht="18.75" x14ac:dyDescent="0.25">
      <c r="A11" s="165"/>
      <c r="B11" s="73" t="s">
        <v>78</v>
      </c>
      <c r="C11" s="43"/>
      <c r="D11" s="119">
        <v>173</v>
      </c>
      <c r="E11" s="43"/>
      <c r="F11" s="44"/>
      <c r="G11" s="43"/>
      <c r="H11" s="46"/>
      <c r="I11" s="45"/>
      <c r="J11" s="46"/>
      <c r="K11" s="43"/>
      <c r="L11" s="119">
        <v>189</v>
      </c>
      <c r="M11" s="43"/>
      <c r="N11" s="44"/>
      <c r="O11" s="43"/>
      <c r="P11" s="46"/>
      <c r="Q11" s="45"/>
      <c r="R11" s="46"/>
      <c r="S11" s="43"/>
      <c r="T11" s="119">
        <v>64</v>
      </c>
      <c r="U11" s="45"/>
      <c r="V11" s="44"/>
      <c r="W11" s="43"/>
      <c r="X11" s="46"/>
      <c r="Y11" s="43"/>
      <c r="Z11" s="46"/>
      <c r="AA11" s="43"/>
      <c r="AB11" s="44"/>
      <c r="AC11" s="45"/>
      <c r="AD11" s="44"/>
      <c r="AE11" s="87">
        <v>105</v>
      </c>
      <c r="AF11" s="46"/>
      <c r="AG11" s="47"/>
      <c r="AH11" s="46"/>
      <c r="AI11" s="43"/>
      <c r="AJ11" s="168">
        <v>0</v>
      </c>
      <c r="AK11" s="45"/>
      <c r="AL11" s="44"/>
      <c r="AM11" s="43"/>
      <c r="AN11" s="46"/>
      <c r="AO11" s="43"/>
      <c r="AP11" s="46"/>
      <c r="AQ11" s="43"/>
      <c r="AR11" s="44"/>
      <c r="AS11" s="45"/>
      <c r="AT11" s="77"/>
      <c r="AU11" s="43"/>
      <c r="AV11" s="46"/>
      <c r="AW11" s="47"/>
      <c r="AX11" s="46"/>
      <c r="AY11" s="43"/>
      <c r="AZ11" s="44"/>
      <c r="BA11" s="45"/>
      <c r="BB11" s="77"/>
      <c r="BC11" s="43"/>
      <c r="BD11" s="120">
        <v>1</v>
      </c>
      <c r="BE11" s="47"/>
      <c r="BF11" s="46"/>
      <c r="BG11" s="43"/>
      <c r="BH11" s="121">
        <v>1</v>
      </c>
      <c r="BI11" s="45"/>
      <c r="BJ11" s="77"/>
      <c r="BK11" s="118">
        <v>1</v>
      </c>
      <c r="BL11" s="119">
        <v>3</v>
      </c>
      <c r="BM11" s="45"/>
      <c r="BN11" s="80"/>
      <c r="BO11" s="118">
        <v>1</v>
      </c>
      <c r="BP11" s="119">
        <v>3</v>
      </c>
      <c r="BQ11" s="45"/>
      <c r="BR11" s="77"/>
      <c r="BS11" s="91"/>
      <c r="BT11" s="92"/>
      <c r="BU11" s="93"/>
      <c r="BV11" s="92"/>
    </row>
    <row r="12" spans="1:74" s="1" customFormat="1" ht="18.75" x14ac:dyDescent="0.25">
      <c r="A12" s="165"/>
      <c r="B12" s="73" t="s">
        <v>79</v>
      </c>
      <c r="C12" s="43"/>
      <c r="D12" s="119">
        <v>125</v>
      </c>
      <c r="E12" s="43"/>
      <c r="F12" s="44"/>
      <c r="G12" s="43"/>
      <c r="H12" s="46"/>
      <c r="I12" s="45"/>
      <c r="J12" s="46"/>
      <c r="K12" s="43"/>
      <c r="L12" s="119">
        <v>100</v>
      </c>
      <c r="M12" s="43"/>
      <c r="N12" s="44"/>
      <c r="O12" s="43"/>
      <c r="P12" s="46"/>
      <c r="Q12" s="45"/>
      <c r="R12" s="46"/>
      <c r="S12" s="43"/>
      <c r="T12" s="119">
        <v>50</v>
      </c>
      <c r="U12" s="45"/>
      <c r="V12" s="44"/>
      <c r="W12" s="43"/>
      <c r="X12" s="46"/>
      <c r="Y12" s="43"/>
      <c r="Z12" s="46"/>
      <c r="AA12" s="43"/>
      <c r="AB12" s="44"/>
      <c r="AC12" s="45"/>
      <c r="AD12" s="44"/>
      <c r="AE12" s="87">
        <v>100</v>
      </c>
      <c r="AF12" s="46"/>
      <c r="AG12" s="47"/>
      <c r="AH12" s="46"/>
      <c r="AI12" s="43"/>
      <c r="AJ12" s="168">
        <v>0</v>
      </c>
      <c r="AK12" s="45"/>
      <c r="AL12" s="44"/>
      <c r="AM12" s="43"/>
      <c r="AN12" s="46"/>
      <c r="AO12" s="43"/>
      <c r="AP12" s="46"/>
      <c r="AQ12" s="43"/>
      <c r="AR12" s="44"/>
      <c r="AS12" s="45"/>
      <c r="AT12" s="77"/>
      <c r="AU12" s="43"/>
      <c r="AV12" s="46"/>
      <c r="AW12" s="47"/>
      <c r="AX12" s="46"/>
      <c r="AY12" s="43"/>
      <c r="AZ12" s="44"/>
      <c r="BA12" s="45"/>
      <c r="BB12" s="77"/>
      <c r="BC12" s="43"/>
      <c r="BD12" s="120">
        <v>1</v>
      </c>
      <c r="BE12" s="47"/>
      <c r="BF12" s="46"/>
      <c r="BG12" s="43"/>
      <c r="BH12" s="121">
        <v>1</v>
      </c>
      <c r="BI12" s="43"/>
      <c r="BJ12" s="77"/>
      <c r="BK12" s="86">
        <v>1</v>
      </c>
      <c r="BL12" s="119">
        <v>2</v>
      </c>
      <c r="BM12" s="45"/>
      <c r="BN12" s="80"/>
      <c r="BO12" s="86">
        <v>1</v>
      </c>
      <c r="BP12" s="119">
        <v>3</v>
      </c>
      <c r="BQ12" s="45"/>
      <c r="BR12" s="77"/>
      <c r="BS12" s="91"/>
      <c r="BT12" s="93"/>
      <c r="BU12" s="93"/>
      <c r="BV12" s="93"/>
    </row>
    <row r="13" spans="1:74" s="1" customFormat="1" ht="18.75" x14ac:dyDescent="0.25">
      <c r="A13" s="165"/>
      <c r="B13" s="73" t="s">
        <v>80</v>
      </c>
      <c r="C13" s="43"/>
      <c r="D13" s="119">
        <v>129</v>
      </c>
      <c r="E13" s="43"/>
      <c r="F13" s="44"/>
      <c r="G13" s="43"/>
      <c r="H13" s="46"/>
      <c r="I13" s="45"/>
      <c r="J13" s="46"/>
      <c r="K13" s="43"/>
      <c r="L13" s="119">
        <v>100</v>
      </c>
      <c r="M13" s="43"/>
      <c r="N13" s="44"/>
      <c r="O13" s="43"/>
      <c r="P13" s="46"/>
      <c r="Q13" s="45"/>
      <c r="R13" s="46"/>
      <c r="S13" s="43"/>
      <c r="T13" s="119">
        <v>95</v>
      </c>
      <c r="U13" s="45"/>
      <c r="V13" s="44"/>
      <c r="W13" s="43"/>
      <c r="X13" s="46"/>
      <c r="Y13" s="43"/>
      <c r="Z13" s="46"/>
      <c r="AA13" s="43"/>
      <c r="AB13" s="44"/>
      <c r="AC13" s="45"/>
      <c r="AD13" s="44"/>
      <c r="AE13" s="87">
        <v>504</v>
      </c>
      <c r="AF13" s="46"/>
      <c r="AG13" s="47"/>
      <c r="AH13" s="46"/>
      <c r="AI13" s="43"/>
      <c r="AJ13" s="168">
        <v>0</v>
      </c>
      <c r="AK13" s="45"/>
      <c r="AL13" s="44"/>
      <c r="AM13" s="43"/>
      <c r="AN13" s="46"/>
      <c r="AO13" s="43"/>
      <c r="AP13" s="46"/>
      <c r="AQ13" s="43"/>
      <c r="AR13" s="44"/>
      <c r="AS13" s="45"/>
      <c r="AT13" s="77"/>
      <c r="AU13" s="43"/>
      <c r="AV13" s="46"/>
      <c r="AW13" s="47"/>
      <c r="AX13" s="46"/>
      <c r="AY13" s="43"/>
      <c r="AZ13" s="44"/>
      <c r="BA13" s="45"/>
      <c r="BB13" s="78"/>
      <c r="BC13" s="43"/>
      <c r="BD13" s="120">
        <v>1</v>
      </c>
      <c r="BE13" s="47"/>
      <c r="BF13" s="46"/>
      <c r="BG13" s="43"/>
      <c r="BH13" s="121">
        <v>1</v>
      </c>
      <c r="BI13" s="45"/>
      <c r="BJ13" s="77"/>
      <c r="BK13" s="86">
        <v>1</v>
      </c>
      <c r="BL13" s="119">
        <v>2</v>
      </c>
      <c r="BM13" s="45"/>
      <c r="BN13" s="80"/>
      <c r="BO13" s="86">
        <v>1</v>
      </c>
      <c r="BP13" s="119">
        <v>2</v>
      </c>
      <c r="BQ13" s="45"/>
      <c r="BR13" s="77"/>
      <c r="BS13" s="118">
        <v>1</v>
      </c>
      <c r="BT13" s="118">
        <v>2</v>
      </c>
      <c r="BU13" s="43"/>
      <c r="BV13" s="82"/>
    </row>
    <row r="14" spans="1:74" s="6" customFormat="1" ht="19.5" x14ac:dyDescent="0.3">
      <c r="A14" s="84"/>
      <c r="B14" s="28"/>
      <c r="C14" s="83">
        <f t="shared" ref="C14:AH14" si="0">SUM(C3:C13)</f>
        <v>0</v>
      </c>
      <c r="D14" s="27">
        <f t="shared" si="0"/>
        <v>1453</v>
      </c>
      <c r="E14" s="27">
        <f t="shared" si="0"/>
        <v>0</v>
      </c>
      <c r="F14" s="27">
        <f t="shared" si="0"/>
        <v>0</v>
      </c>
      <c r="G14" s="27">
        <f t="shared" si="0"/>
        <v>0</v>
      </c>
      <c r="H14" s="27">
        <f t="shared" si="0"/>
        <v>0</v>
      </c>
      <c r="I14" s="27">
        <f t="shared" si="0"/>
        <v>0</v>
      </c>
      <c r="J14" s="27">
        <f t="shared" si="0"/>
        <v>0</v>
      </c>
      <c r="K14" s="27">
        <f t="shared" si="0"/>
        <v>0</v>
      </c>
      <c r="L14" s="27">
        <f t="shared" si="0"/>
        <v>1253</v>
      </c>
      <c r="M14" s="27">
        <f t="shared" si="0"/>
        <v>0</v>
      </c>
      <c r="N14" s="27">
        <f t="shared" si="0"/>
        <v>0</v>
      </c>
      <c r="O14" s="27">
        <f t="shared" si="0"/>
        <v>0</v>
      </c>
      <c r="P14" s="27">
        <f t="shared" si="0"/>
        <v>0</v>
      </c>
      <c r="Q14" s="27">
        <f t="shared" si="0"/>
        <v>0</v>
      </c>
      <c r="R14" s="27">
        <f t="shared" si="0"/>
        <v>0</v>
      </c>
      <c r="S14" s="27">
        <f t="shared" si="0"/>
        <v>0</v>
      </c>
      <c r="T14" s="27">
        <f t="shared" si="0"/>
        <v>703</v>
      </c>
      <c r="U14" s="27">
        <f t="shared" si="0"/>
        <v>0</v>
      </c>
      <c r="V14" s="27">
        <f t="shared" si="0"/>
        <v>0</v>
      </c>
      <c r="W14" s="27">
        <f t="shared" si="0"/>
        <v>0</v>
      </c>
      <c r="X14" s="27">
        <f t="shared" si="0"/>
        <v>0</v>
      </c>
      <c r="Y14" s="27">
        <f t="shared" si="0"/>
        <v>0</v>
      </c>
      <c r="Z14" s="27">
        <f t="shared" si="0"/>
        <v>0</v>
      </c>
      <c r="AA14" s="27">
        <f t="shared" si="0"/>
        <v>0</v>
      </c>
      <c r="AB14" s="27">
        <f t="shared" si="0"/>
        <v>0</v>
      </c>
      <c r="AC14" s="27">
        <f t="shared" si="0"/>
        <v>0</v>
      </c>
      <c r="AD14" s="27">
        <f t="shared" si="0"/>
        <v>0</v>
      </c>
      <c r="AE14" s="27">
        <f t="shared" si="0"/>
        <v>5004</v>
      </c>
      <c r="AF14" s="27">
        <f t="shared" si="0"/>
        <v>0</v>
      </c>
      <c r="AG14" s="27">
        <f t="shared" si="0"/>
        <v>0</v>
      </c>
      <c r="AH14" s="27">
        <f t="shared" si="0"/>
        <v>0</v>
      </c>
      <c r="AI14" s="27">
        <f t="shared" ref="AI14:BN14" si="1">SUM(AI3:AI13)</f>
        <v>0</v>
      </c>
      <c r="AJ14" s="27">
        <f t="shared" si="1"/>
        <v>1287</v>
      </c>
      <c r="AK14" s="27">
        <f t="shared" si="1"/>
        <v>0</v>
      </c>
      <c r="AL14" s="27">
        <f t="shared" si="1"/>
        <v>0</v>
      </c>
      <c r="AM14" s="27">
        <f t="shared" si="1"/>
        <v>0</v>
      </c>
      <c r="AN14" s="27">
        <f t="shared" si="1"/>
        <v>0</v>
      </c>
      <c r="AO14" s="27">
        <f t="shared" si="1"/>
        <v>0</v>
      </c>
      <c r="AP14" s="27">
        <f t="shared" si="1"/>
        <v>0</v>
      </c>
      <c r="AQ14" s="27">
        <f t="shared" si="1"/>
        <v>0</v>
      </c>
      <c r="AR14" s="27">
        <f t="shared" si="1"/>
        <v>0</v>
      </c>
      <c r="AS14" s="27">
        <f t="shared" si="1"/>
        <v>0</v>
      </c>
      <c r="AT14" s="27">
        <f t="shared" si="1"/>
        <v>0</v>
      </c>
      <c r="AU14" s="27">
        <f t="shared" si="1"/>
        <v>0</v>
      </c>
      <c r="AV14" s="27">
        <f t="shared" si="1"/>
        <v>0</v>
      </c>
      <c r="AW14" s="27">
        <f t="shared" si="1"/>
        <v>0</v>
      </c>
      <c r="AX14" s="27">
        <f t="shared" si="1"/>
        <v>0</v>
      </c>
      <c r="AY14" s="27">
        <f t="shared" si="1"/>
        <v>0</v>
      </c>
      <c r="AZ14" s="27">
        <f t="shared" si="1"/>
        <v>0</v>
      </c>
      <c r="BA14" s="27">
        <f t="shared" si="1"/>
        <v>0</v>
      </c>
      <c r="BB14" s="27">
        <f t="shared" si="1"/>
        <v>0</v>
      </c>
      <c r="BC14" s="27">
        <f t="shared" si="1"/>
        <v>0</v>
      </c>
      <c r="BD14" s="120">
        <v>1</v>
      </c>
      <c r="BE14" s="27">
        <f t="shared" si="1"/>
        <v>0</v>
      </c>
      <c r="BF14" s="27">
        <f t="shared" si="1"/>
        <v>0</v>
      </c>
      <c r="BG14" s="27">
        <f t="shared" si="1"/>
        <v>0</v>
      </c>
      <c r="BH14" s="121">
        <v>1</v>
      </c>
      <c r="BI14" s="27">
        <f t="shared" si="1"/>
        <v>0</v>
      </c>
      <c r="BJ14" s="27">
        <f t="shared" si="1"/>
        <v>0</v>
      </c>
      <c r="BK14" s="27">
        <f t="shared" si="1"/>
        <v>15</v>
      </c>
      <c r="BL14" s="27">
        <f t="shared" si="1"/>
        <v>26</v>
      </c>
      <c r="BM14" s="27">
        <f t="shared" si="1"/>
        <v>0</v>
      </c>
      <c r="BN14" s="27">
        <f t="shared" si="1"/>
        <v>0</v>
      </c>
      <c r="BO14" s="27">
        <f t="shared" ref="BO14:BV14" si="2">SUM(BO3:BO13)</f>
        <v>12</v>
      </c>
      <c r="BP14" s="27">
        <f t="shared" si="2"/>
        <v>19</v>
      </c>
      <c r="BQ14" s="27">
        <f t="shared" si="2"/>
        <v>0</v>
      </c>
      <c r="BR14" s="27">
        <f t="shared" si="2"/>
        <v>0</v>
      </c>
      <c r="BS14" s="27">
        <f t="shared" si="2"/>
        <v>4</v>
      </c>
      <c r="BT14" s="27">
        <f t="shared" si="2"/>
        <v>11</v>
      </c>
      <c r="BU14" s="27">
        <f t="shared" si="2"/>
        <v>0</v>
      </c>
      <c r="BV14" s="27">
        <f t="shared" si="2"/>
        <v>0</v>
      </c>
    </row>
    <row r="15" spans="1:74" s="7" customFormat="1" ht="21" x14ac:dyDescent="0.35">
      <c r="A15" s="6"/>
      <c r="B15" s="8" t="s">
        <v>7</v>
      </c>
      <c r="C15" s="85">
        <f>SUM(C14+D14+E14+F14)</f>
        <v>1453</v>
      </c>
      <c r="D15" s="9"/>
      <c r="E15" s="9"/>
      <c r="F15" s="9"/>
      <c r="G15" s="8">
        <f>SUM(G14+H14+I14+J14)</f>
        <v>0</v>
      </c>
      <c r="H15" s="9"/>
      <c r="I15" s="9"/>
      <c r="J15" s="9"/>
      <c r="K15" s="8">
        <f>SUM(K14+L14+M14+N14)</f>
        <v>1253</v>
      </c>
      <c r="L15" s="9"/>
      <c r="M15" s="9"/>
      <c r="N15" s="9"/>
      <c r="O15" s="8">
        <f>SUM(O14+P14+Q14+R14)</f>
        <v>0</v>
      </c>
      <c r="P15" s="9"/>
      <c r="Q15" s="9"/>
      <c r="R15" s="9"/>
      <c r="S15" s="8">
        <f>SUM(S14+T14+U14+V14)</f>
        <v>703</v>
      </c>
      <c r="T15" s="9"/>
      <c r="U15" s="9"/>
      <c r="V15" s="9"/>
      <c r="W15" s="8">
        <f>SUM(W14+X14+Y14+Z14)</f>
        <v>0</v>
      </c>
      <c r="X15" s="9"/>
      <c r="Y15" s="9"/>
      <c r="Z15" s="9"/>
      <c r="AA15" s="8">
        <f>SUM(AA14+AB14+AC14+AD14)</f>
        <v>0</v>
      </c>
      <c r="AB15" s="9"/>
      <c r="AC15" s="9"/>
      <c r="AD15" s="9"/>
      <c r="AE15" s="8">
        <f>SUM(AE14:AH14)</f>
        <v>5004</v>
      </c>
      <c r="AF15" s="9"/>
      <c r="AG15" s="9"/>
      <c r="AH15" s="9"/>
      <c r="AI15" s="8">
        <f>SUM(AI14+AJ14+AK14+AL14)</f>
        <v>1287</v>
      </c>
      <c r="AJ15" s="9"/>
      <c r="AK15" s="9"/>
      <c r="AL15" s="9"/>
      <c r="AM15" s="8">
        <f>SUM(AM14+AN14+AO14+AP14)</f>
        <v>0</v>
      </c>
      <c r="AN15" s="9"/>
      <c r="AO15" s="9"/>
      <c r="AP15" s="9"/>
      <c r="AQ15" s="8">
        <f>SUM(AQ14+AR14+AS14+AT14)</f>
        <v>0</v>
      </c>
      <c r="AR15" s="9"/>
      <c r="AS15" s="9"/>
      <c r="AT15" s="9"/>
      <c r="AU15" s="8">
        <f>SUM(AU14:AX14)</f>
        <v>0</v>
      </c>
      <c r="AV15" s="9"/>
      <c r="AW15" s="9"/>
      <c r="AX15" s="9"/>
      <c r="AY15" s="8">
        <f>SUM(AY14:BB14)</f>
        <v>0</v>
      </c>
      <c r="AZ15" s="9"/>
      <c r="BA15" s="9"/>
      <c r="BB15" s="9"/>
      <c r="BC15" s="120">
        <v>1</v>
      </c>
      <c r="BD15" s="9"/>
      <c r="BE15" s="9"/>
      <c r="BF15" s="9"/>
      <c r="BG15" s="121">
        <v>1</v>
      </c>
      <c r="BH15" s="9"/>
      <c r="BI15" s="9"/>
      <c r="BJ15" s="9"/>
      <c r="BK15" s="8">
        <f>SUM(BK14:BN14)</f>
        <v>41</v>
      </c>
      <c r="BL15" s="9"/>
      <c r="BM15" s="9"/>
      <c r="BN15" s="9"/>
      <c r="BO15" s="8">
        <f>SUM(BO14:BR14)</f>
        <v>31</v>
      </c>
      <c r="BP15" s="9"/>
      <c r="BQ15" s="9"/>
      <c r="BR15" s="9"/>
      <c r="BS15" s="8">
        <f>SUM(BS14:BV14)</f>
        <v>15</v>
      </c>
      <c r="BT15" s="9"/>
      <c r="BU15" s="9"/>
      <c r="BV15" s="9"/>
    </row>
    <row r="16" spans="1:74" ht="21" x14ac:dyDescent="0.35">
      <c r="A16" s="7"/>
    </row>
  </sheetData>
  <mergeCells count="21">
    <mergeCell ref="AY1:BB1"/>
    <mergeCell ref="BG1:BJ1"/>
    <mergeCell ref="BK1:BN1"/>
    <mergeCell ref="BO1:BR1"/>
    <mergeCell ref="BC1:BF1"/>
    <mergeCell ref="BS1:BV1"/>
    <mergeCell ref="A3:A13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13"/>
  <sheetViews>
    <sheetView workbookViewId="0">
      <selection activeCell="AJ6" sqref="AJ6:AJ10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99</v>
      </c>
      <c r="D1" s="154"/>
      <c r="E1" s="154"/>
      <c r="F1" s="155"/>
      <c r="G1" s="139" t="s">
        <v>101</v>
      </c>
      <c r="H1" s="140"/>
      <c r="I1" s="140"/>
      <c r="J1" s="141"/>
      <c r="K1" s="136" t="s">
        <v>100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195</v>
      </c>
      <c r="B3" s="73" t="s">
        <v>191</v>
      </c>
      <c r="C3" s="43"/>
      <c r="D3" s="119">
        <v>185</v>
      </c>
      <c r="E3" s="43"/>
      <c r="F3" s="44"/>
      <c r="G3" s="43"/>
      <c r="H3" s="46"/>
      <c r="I3" s="45"/>
      <c r="J3" s="46"/>
      <c r="K3" s="43"/>
      <c r="L3" s="87">
        <v>158</v>
      </c>
      <c r="M3" s="43"/>
      <c r="N3" s="44"/>
      <c r="O3" s="43"/>
      <c r="P3" s="46"/>
      <c r="Q3" s="45"/>
      <c r="R3" s="46"/>
      <c r="S3" s="43"/>
      <c r="T3" s="87">
        <v>78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301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4">
        <v>1</v>
      </c>
      <c r="BE3" s="47"/>
      <c r="BF3" s="46"/>
      <c r="BG3" s="43"/>
      <c r="BH3" s="115">
        <v>1</v>
      </c>
      <c r="BI3" s="47"/>
      <c r="BJ3" s="77"/>
      <c r="BK3" s="86">
        <v>1</v>
      </c>
      <c r="BL3" s="168">
        <v>0</v>
      </c>
      <c r="BM3" s="45"/>
      <c r="BN3" s="80"/>
      <c r="BO3" s="86">
        <v>2</v>
      </c>
      <c r="BP3" s="168">
        <v>0</v>
      </c>
      <c r="BQ3" s="43"/>
      <c r="BR3" s="77"/>
      <c r="BS3" s="86">
        <v>1</v>
      </c>
      <c r="BT3" s="86">
        <v>1</v>
      </c>
      <c r="BU3" s="45"/>
      <c r="BV3" s="80"/>
    </row>
    <row r="4" spans="1:74" s="1" customFormat="1" ht="18.75" x14ac:dyDescent="0.25">
      <c r="A4" s="165"/>
      <c r="B4" s="73" t="s">
        <v>192</v>
      </c>
      <c r="C4" s="43"/>
      <c r="D4" s="119">
        <v>131</v>
      </c>
      <c r="E4" s="43"/>
      <c r="F4" s="44"/>
      <c r="G4" s="43"/>
      <c r="H4" s="46"/>
      <c r="I4" s="45"/>
      <c r="J4" s="46"/>
      <c r="K4" s="43"/>
      <c r="L4" s="87">
        <v>100</v>
      </c>
      <c r="M4" s="43"/>
      <c r="N4" s="44"/>
      <c r="O4" s="43"/>
      <c r="P4" s="46"/>
      <c r="Q4" s="45"/>
      <c r="R4" s="46"/>
      <c r="S4" s="43"/>
      <c r="T4" s="87">
        <v>50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119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4">
        <v>1</v>
      </c>
      <c r="BE4" s="47"/>
      <c r="BF4" s="46"/>
      <c r="BG4" s="43"/>
      <c r="BH4" s="114">
        <v>1</v>
      </c>
      <c r="BI4" s="47"/>
      <c r="BJ4" s="77"/>
      <c r="BK4" s="86">
        <v>2</v>
      </c>
      <c r="BL4" s="86">
        <v>2</v>
      </c>
      <c r="BM4" s="45"/>
      <c r="BN4" s="80"/>
      <c r="BO4" s="86">
        <v>2</v>
      </c>
      <c r="BP4" s="86">
        <v>2</v>
      </c>
      <c r="BQ4" s="43"/>
      <c r="BR4" s="77"/>
      <c r="BS4" s="91"/>
      <c r="BT4" s="92"/>
      <c r="BU4" s="93"/>
      <c r="BV4" s="93"/>
    </row>
    <row r="5" spans="1:74" s="1" customFormat="1" ht="18.75" x14ac:dyDescent="0.25">
      <c r="A5" s="165"/>
      <c r="B5" s="73" t="s">
        <v>81</v>
      </c>
      <c r="C5" s="43"/>
      <c r="D5" s="119">
        <v>125</v>
      </c>
      <c r="E5" s="43"/>
      <c r="F5" s="44"/>
      <c r="G5" s="43"/>
      <c r="H5" s="46"/>
      <c r="I5" s="45"/>
      <c r="J5" s="46"/>
      <c r="K5" s="43"/>
      <c r="L5" s="87">
        <v>103</v>
      </c>
      <c r="M5" s="43"/>
      <c r="N5" s="44"/>
      <c r="O5" s="43"/>
      <c r="P5" s="46"/>
      <c r="Q5" s="45"/>
      <c r="R5" s="46"/>
      <c r="S5" s="43"/>
      <c r="T5" s="87">
        <v>53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100</v>
      </c>
      <c r="AF5" s="46"/>
      <c r="AG5" s="47"/>
      <c r="AH5" s="46"/>
      <c r="AI5" s="43"/>
      <c r="AJ5" s="167">
        <v>301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14">
        <v>1</v>
      </c>
      <c r="BE5" s="47"/>
      <c r="BF5" s="46"/>
      <c r="BG5" s="43"/>
      <c r="BH5" s="114">
        <v>1</v>
      </c>
      <c r="BI5" s="47"/>
      <c r="BJ5" s="77"/>
      <c r="BK5" s="86">
        <v>2</v>
      </c>
      <c r="BL5" s="168">
        <v>0</v>
      </c>
      <c r="BM5" s="45"/>
      <c r="BN5" s="80"/>
      <c r="BO5" s="86">
        <v>2</v>
      </c>
      <c r="BP5" s="77">
        <v>0</v>
      </c>
      <c r="BQ5" s="43"/>
      <c r="BR5" s="77"/>
      <c r="BS5" s="91"/>
      <c r="BT5" s="92"/>
      <c r="BU5" s="93"/>
      <c r="BV5" s="93"/>
    </row>
    <row r="6" spans="1:74" s="1" customFormat="1" ht="18.75" x14ac:dyDescent="0.25">
      <c r="A6" s="165"/>
      <c r="B6" s="73" t="s">
        <v>82</v>
      </c>
      <c r="C6" s="43"/>
      <c r="D6" s="119">
        <v>170</v>
      </c>
      <c r="E6" s="43"/>
      <c r="F6" s="44"/>
      <c r="G6" s="43"/>
      <c r="H6" s="46"/>
      <c r="I6" s="45"/>
      <c r="J6" s="46"/>
      <c r="K6" s="43"/>
      <c r="L6" s="87">
        <v>128</v>
      </c>
      <c r="M6" s="43"/>
      <c r="N6" s="44"/>
      <c r="O6" s="43"/>
      <c r="P6" s="46"/>
      <c r="Q6" s="45"/>
      <c r="R6" s="46"/>
      <c r="S6" s="43"/>
      <c r="T6" s="87">
        <v>166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100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14">
        <v>1</v>
      </c>
      <c r="BE6" s="47"/>
      <c r="BF6" s="46"/>
      <c r="BG6" s="43"/>
      <c r="BH6" s="114">
        <v>1</v>
      </c>
      <c r="BI6" s="47"/>
      <c r="BJ6" s="77"/>
      <c r="BK6" s="86">
        <v>1</v>
      </c>
      <c r="BL6" s="86">
        <v>2</v>
      </c>
      <c r="BM6" s="45"/>
      <c r="BN6" s="80"/>
      <c r="BO6" s="43"/>
      <c r="BP6" s="86">
        <v>2</v>
      </c>
      <c r="BQ6" s="43"/>
      <c r="BR6" s="77"/>
      <c r="BS6" s="86">
        <v>1</v>
      </c>
      <c r="BT6" s="86">
        <v>1</v>
      </c>
      <c r="BU6" s="45"/>
      <c r="BV6" s="80"/>
    </row>
    <row r="7" spans="1:74" s="1" customFormat="1" ht="18.75" x14ac:dyDescent="0.25">
      <c r="A7" s="165"/>
      <c r="B7" s="73" t="s">
        <v>193</v>
      </c>
      <c r="C7" s="43"/>
      <c r="D7" s="119">
        <v>150</v>
      </c>
      <c r="E7" s="43"/>
      <c r="F7" s="44"/>
      <c r="G7" s="43"/>
      <c r="H7" s="46"/>
      <c r="I7" s="45"/>
      <c r="J7" s="46"/>
      <c r="K7" s="43"/>
      <c r="L7" s="87">
        <v>100</v>
      </c>
      <c r="M7" s="43"/>
      <c r="N7" s="44"/>
      <c r="O7" s="43"/>
      <c r="P7" s="46"/>
      <c r="Q7" s="45"/>
      <c r="R7" s="46"/>
      <c r="S7" s="43"/>
      <c r="T7" s="87">
        <v>60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87">
        <v>100</v>
      </c>
      <c r="AF7" s="46"/>
      <c r="AG7" s="47"/>
      <c r="AH7" s="46"/>
      <c r="AI7" s="43"/>
      <c r="AJ7" s="168">
        <v>0</v>
      </c>
      <c r="AK7" s="45"/>
      <c r="AL7" s="44"/>
      <c r="AM7" s="43"/>
      <c r="AN7" s="46"/>
      <c r="AO7" s="43"/>
      <c r="AP7" s="46"/>
      <c r="AQ7" s="43"/>
      <c r="AR7" s="44"/>
      <c r="AS7" s="45"/>
      <c r="AT7" s="77"/>
      <c r="AU7" s="43"/>
      <c r="AV7" s="46"/>
      <c r="AW7" s="47"/>
      <c r="AX7" s="46"/>
      <c r="AY7" s="43"/>
      <c r="AZ7" s="44"/>
      <c r="BA7" s="45"/>
      <c r="BB7" s="77"/>
      <c r="BC7" s="43"/>
      <c r="BD7" s="114">
        <v>1</v>
      </c>
      <c r="BE7" s="47"/>
      <c r="BF7" s="46"/>
      <c r="BG7" s="43"/>
      <c r="BH7" s="114">
        <v>1</v>
      </c>
      <c r="BI7" s="47"/>
      <c r="BJ7" s="77"/>
      <c r="BK7" s="43"/>
      <c r="BL7" s="86">
        <v>1</v>
      </c>
      <c r="BM7" s="45"/>
      <c r="BN7" s="80"/>
      <c r="BO7" s="86">
        <v>1</v>
      </c>
      <c r="BP7" s="86">
        <v>1</v>
      </c>
      <c r="BQ7" s="45"/>
      <c r="BR7" s="77"/>
      <c r="BS7" s="86">
        <v>1</v>
      </c>
      <c r="BT7" s="86">
        <v>1</v>
      </c>
      <c r="BU7" s="45"/>
      <c r="BV7" s="41"/>
    </row>
    <row r="8" spans="1:74" s="1" customFormat="1" ht="18.75" x14ac:dyDescent="0.25">
      <c r="A8" s="165"/>
      <c r="B8" s="73" t="s">
        <v>83</v>
      </c>
      <c r="C8" s="43"/>
      <c r="D8" s="118">
        <v>243</v>
      </c>
      <c r="E8" s="43"/>
      <c r="F8" s="44"/>
      <c r="G8" s="43"/>
      <c r="H8" s="46"/>
      <c r="I8" s="45"/>
      <c r="J8" s="46"/>
      <c r="K8" s="43"/>
      <c r="L8" s="87">
        <v>141</v>
      </c>
      <c r="M8" s="43"/>
      <c r="N8" s="44"/>
      <c r="O8" s="43"/>
      <c r="P8" s="46"/>
      <c r="Q8" s="45"/>
      <c r="R8" s="46"/>
      <c r="S8" s="43"/>
      <c r="T8" s="87">
        <v>108</v>
      </c>
      <c r="U8" s="45"/>
      <c r="V8" s="44"/>
      <c r="W8" s="43"/>
      <c r="X8" s="46"/>
      <c r="Y8" s="43"/>
      <c r="Z8" s="46"/>
      <c r="AA8" s="43"/>
      <c r="AB8" s="44"/>
      <c r="AC8" s="45"/>
      <c r="AD8" s="44"/>
      <c r="AE8" s="87">
        <v>135</v>
      </c>
      <c r="AF8" s="46"/>
      <c r="AG8" s="47"/>
      <c r="AH8" s="46"/>
      <c r="AI8" s="43"/>
      <c r="AJ8" s="168">
        <v>0</v>
      </c>
      <c r="AK8" s="45"/>
      <c r="AL8" s="44"/>
      <c r="AM8" s="43"/>
      <c r="AN8" s="46"/>
      <c r="AO8" s="43"/>
      <c r="AP8" s="46"/>
      <c r="AQ8" s="43"/>
      <c r="AR8" s="44"/>
      <c r="AS8" s="45"/>
      <c r="AT8" s="79"/>
      <c r="AU8" s="43"/>
      <c r="AV8" s="46"/>
      <c r="AW8" s="47"/>
      <c r="AX8" s="46"/>
      <c r="AY8" s="43"/>
      <c r="AZ8" s="44"/>
      <c r="BA8" s="45"/>
      <c r="BB8" s="77"/>
      <c r="BC8" s="43"/>
      <c r="BD8" s="114">
        <v>1</v>
      </c>
      <c r="BE8" s="47"/>
      <c r="BF8" s="46"/>
      <c r="BG8" s="43"/>
      <c r="BH8" s="114">
        <v>1</v>
      </c>
      <c r="BI8" s="47"/>
      <c r="BJ8" s="77"/>
      <c r="BK8" s="86">
        <v>1</v>
      </c>
      <c r="BL8" s="86">
        <v>1</v>
      </c>
      <c r="BM8" s="43"/>
      <c r="BN8" s="80"/>
      <c r="BO8" s="86">
        <v>1</v>
      </c>
      <c r="BP8" s="86">
        <v>1</v>
      </c>
      <c r="BQ8" s="45"/>
      <c r="BR8" s="77"/>
      <c r="BS8" s="86">
        <v>1</v>
      </c>
      <c r="BT8" s="86">
        <v>1</v>
      </c>
      <c r="BU8" s="43"/>
      <c r="BV8" s="41"/>
    </row>
    <row r="9" spans="1:74" s="1" customFormat="1" ht="18.75" x14ac:dyDescent="0.25">
      <c r="A9" s="165"/>
      <c r="B9" s="73" t="s">
        <v>84</v>
      </c>
      <c r="C9" s="43"/>
      <c r="D9" s="119">
        <v>136</v>
      </c>
      <c r="E9" s="43"/>
      <c r="F9" s="44"/>
      <c r="G9" s="43"/>
      <c r="H9" s="46"/>
      <c r="I9" s="45"/>
      <c r="J9" s="46"/>
      <c r="K9" s="43"/>
      <c r="L9" s="44" t="s">
        <v>246</v>
      </c>
      <c r="M9" s="43"/>
      <c r="N9" s="44"/>
      <c r="O9" s="43"/>
      <c r="P9" s="46"/>
      <c r="Q9" s="45"/>
      <c r="R9" s="46"/>
      <c r="S9" s="43"/>
      <c r="T9" s="87">
        <v>68</v>
      </c>
      <c r="U9" s="45"/>
      <c r="V9" s="44"/>
      <c r="W9" s="43"/>
      <c r="X9" s="46"/>
      <c r="Y9" s="43"/>
      <c r="Z9" s="46"/>
      <c r="AA9" s="43"/>
      <c r="AB9" s="44"/>
      <c r="AC9" s="45"/>
      <c r="AD9" s="44"/>
      <c r="AE9" s="87">
        <v>157</v>
      </c>
      <c r="AF9" s="46"/>
      <c r="AG9" s="47"/>
      <c r="AH9" s="46"/>
      <c r="AI9" s="43"/>
      <c r="AJ9" s="168">
        <v>0</v>
      </c>
      <c r="AK9" s="45"/>
      <c r="AL9" s="44"/>
      <c r="AM9" s="43"/>
      <c r="AN9" s="46"/>
      <c r="AO9" s="43"/>
      <c r="AP9" s="46"/>
      <c r="AQ9" s="43"/>
      <c r="AR9" s="44"/>
      <c r="AS9" s="45"/>
      <c r="AT9" s="77"/>
      <c r="AU9" s="43"/>
      <c r="AV9" s="46"/>
      <c r="AW9" s="47"/>
      <c r="AX9" s="46"/>
      <c r="AY9" s="43"/>
      <c r="AZ9" s="44"/>
      <c r="BA9" s="45"/>
      <c r="BB9" s="77"/>
      <c r="BC9" s="43"/>
      <c r="BD9" s="114">
        <v>1</v>
      </c>
      <c r="BE9" s="47"/>
      <c r="BF9" s="46"/>
      <c r="BG9" s="43"/>
      <c r="BH9" s="114">
        <v>1</v>
      </c>
      <c r="BI9" s="47"/>
      <c r="BJ9" s="77"/>
      <c r="BK9" s="86">
        <v>1</v>
      </c>
      <c r="BL9" s="86">
        <v>1</v>
      </c>
      <c r="BM9" s="45"/>
      <c r="BN9" s="80"/>
      <c r="BO9" s="86">
        <v>2</v>
      </c>
      <c r="BP9" s="86">
        <v>1</v>
      </c>
      <c r="BQ9" s="45"/>
      <c r="BR9" s="77"/>
      <c r="BS9" s="91"/>
      <c r="BT9" s="92"/>
      <c r="BU9" s="93"/>
      <c r="BV9" s="92"/>
    </row>
    <row r="10" spans="1:74" s="1" customFormat="1" ht="18.75" x14ac:dyDescent="0.25">
      <c r="A10" s="165"/>
      <c r="B10" s="73" t="s">
        <v>194</v>
      </c>
      <c r="C10" s="43"/>
      <c r="D10" s="119">
        <v>140</v>
      </c>
      <c r="E10" s="43"/>
      <c r="F10" s="44"/>
      <c r="G10" s="43"/>
      <c r="H10" s="46"/>
      <c r="I10" s="45"/>
      <c r="J10" s="46"/>
      <c r="K10" s="43"/>
      <c r="L10" s="87">
        <v>140</v>
      </c>
      <c r="M10" s="43"/>
      <c r="N10" s="44"/>
      <c r="O10" s="43"/>
      <c r="P10" s="46"/>
      <c r="Q10" s="45"/>
      <c r="R10" s="46"/>
      <c r="S10" s="43"/>
      <c r="T10" s="87">
        <v>140</v>
      </c>
      <c r="U10" s="45"/>
      <c r="V10" s="44"/>
      <c r="W10" s="43"/>
      <c r="X10" s="46"/>
      <c r="Y10" s="43"/>
      <c r="Z10" s="46"/>
      <c r="AA10" s="43"/>
      <c r="AB10" s="44"/>
      <c r="AC10" s="45"/>
      <c r="AD10" s="44"/>
      <c r="AE10" s="87">
        <v>226</v>
      </c>
      <c r="AF10" s="46"/>
      <c r="AG10" s="47"/>
      <c r="AH10" s="46"/>
      <c r="AI10" s="43"/>
      <c r="AJ10" s="168">
        <v>0</v>
      </c>
      <c r="AK10" s="45"/>
      <c r="AL10" s="44"/>
      <c r="AM10" s="43"/>
      <c r="AN10" s="46"/>
      <c r="AO10" s="43"/>
      <c r="AP10" s="46"/>
      <c r="AQ10" s="43"/>
      <c r="AR10" s="44"/>
      <c r="AS10" s="45"/>
      <c r="AT10" s="79"/>
      <c r="AU10" s="43"/>
      <c r="AV10" s="46"/>
      <c r="AW10" s="47"/>
      <c r="AX10" s="46"/>
      <c r="AY10" s="43"/>
      <c r="AZ10" s="44"/>
      <c r="BA10" s="45"/>
      <c r="BB10" s="77"/>
      <c r="BC10" s="43"/>
      <c r="BD10" s="114">
        <v>1</v>
      </c>
      <c r="BE10" s="47"/>
      <c r="BF10" s="46"/>
      <c r="BG10" s="43"/>
      <c r="BH10" s="114">
        <v>1</v>
      </c>
      <c r="BI10" s="47"/>
      <c r="BJ10" s="77"/>
      <c r="BK10" s="43"/>
      <c r="BL10" s="168">
        <v>0</v>
      </c>
      <c r="BM10" s="45"/>
      <c r="BN10" s="80"/>
      <c r="BO10" s="43"/>
      <c r="BP10" s="168">
        <v>0</v>
      </c>
      <c r="BQ10" s="45"/>
      <c r="BR10" s="77"/>
      <c r="BS10" s="91"/>
      <c r="BT10" s="92"/>
      <c r="BU10" s="93"/>
      <c r="BV10" s="92"/>
    </row>
    <row r="11" spans="1:74" s="6" customFormat="1" ht="19.5" x14ac:dyDescent="0.3">
      <c r="A11" s="84"/>
      <c r="B11" s="28"/>
      <c r="C11" s="83">
        <f t="shared" ref="C11:AH11" si="0">SUM(C3:C10)</f>
        <v>0</v>
      </c>
      <c r="D11" s="27">
        <f t="shared" si="0"/>
        <v>1280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7">
        <f t="shared" si="0"/>
        <v>0</v>
      </c>
      <c r="L11" s="27">
        <f t="shared" si="0"/>
        <v>870</v>
      </c>
      <c r="M11" s="27">
        <f t="shared" si="0"/>
        <v>0</v>
      </c>
      <c r="N11" s="27">
        <f t="shared" si="0"/>
        <v>0</v>
      </c>
      <c r="O11" s="27">
        <f t="shared" si="0"/>
        <v>0</v>
      </c>
      <c r="P11" s="27">
        <f t="shared" si="0"/>
        <v>0</v>
      </c>
      <c r="Q11" s="27">
        <f t="shared" si="0"/>
        <v>0</v>
      </c>
      <c r="R11" s="27">
        <f t="shared" si="0"/>
        <v>0</v>
      </c>
      <c r="S11" s="27">
        <f t="shared" si="0"/>
        <v>0</v>
      </c>
      <c r="T11" s="27">
        <f t="shared" si="0"/>
        <v>723</v>
      </c>
      <c r="U11" s="27">
        <f t="shared" si="0"/>
        <v>0</v>
      </c>
      <c r="V11" s="27">
        <f t="shared" si="0"/>
        <v>0</v>
      </c>
      <c r="W11" s="27">
        <f t="shared" si="0"/>
        <v>0</v>
      </c>
      <c r="X11" s="27">
        <f t="shared" si="0"/>
        <v>0</v>
      </c>
      <c r="Y11" s="27">
        <f t="shared" si="0"/>
        <v>0</v>
      </c>
      <c r="Z11" s="27">
        <f t="shared" si="0"/>
        <v>0</v>
      </c>
      <c r="AA11" s="27">
        <f t="shared" si="0"/>
        <v>0</v>
      </c>
      <c r="AB11" s="27">
        <f t="shared" si="0"/>
        <v>0</v>
      </c>
      <c r="AC11" s="27">
        <f t="shared" si="0"/>
        <v>0</v>
      </c>
      <c r="AD11" s="27">
        <f t="shared" si="0"/>
        <v>0</v>
      </c>
      <c r="AE11" s="27">
        <f t="shared" si="0"/>
        <v>1238</v>
      </c>
      <c r="AF11" s="27">
        <f t="shared" si="0"/>
        <v>0</v>
      </c>
      <c r="AG11" s="27">
        <f t="shared" si="0"/>
        <v>0</v>
      </c>
      <c r="AH11" s="27">
        <f t="shared" si="0"/>
        <v>0</v>
      </c>
      <c r="AI11" s="27">
        <f t="shared" ref="AI11:BN11" si="1">SUM(AI3:AI10)</f>
        <v>0</v>
      </c>
      <c r="AJ11" s="27">
        <f t="shared" si="1"/>
        <v>301</v>
      </c>
      <c r="AK11" s="27">
        <f t="shared" si="1"/>
        <v>0</v>
      </c>
      <c r="AL11" s="27">
        <f t="shared" si="1"/>
        <v>0</v>
      </c>
      <c r="AM11" s="27">
        <f t="shared" si="1"/>
        <v>0</v>
      </c>
      <c r="AN11" s="27">
        <f t="shared" si="1"/>
        <v>0</v>
      </c>
      <c r="AO11" s="27">
        <f t="shared" si="1"/>
        <v>0</v>
      </c>
      <c r="AP11" s="27">
        <f t="shared" si="1"/>
        <v>0</v>
      </c>
      <c r="AQ11" s="27">
        <f t="shared" si="1"/>
        <v>0</v>
      </c>
      <c r="AR11" s="27">
        <f t="shared" si="1"/>
        <v>0</v>
      </c>
      <c r="AS11" s="27">
        <f t="shared" si="1"/>
        <v>0</v>
      </c>
      <c r="AT11" s="27">
        <f t="shared" si="1"/>
        <v>0</v>
      </c>
      <c r="AU11" s="27">
        <f t="shared" si="1"/>
        <v>0</v>
      </c>
      <c r="AV11" s="27">
        <f t="shared" si="1"/>
        <v>0</v>
      </c>
      <c r="AW11" s="27">
        <f t="shared" si="1"/>
        <v>0</v>
      </c>
      <c r="AX11" s="27">
        <f t="shared" si="1"/>
        <v>0</v>
      </c>
      <c r="AY11" s="27">
        <f t="shared" si="1"/>
        <v>0</v>
      </c>
      <c r="AZ11" s="27">
        <f t="shared" si="1"/>
        <v>0</v>
      </c>
      <c r="BA11" s="27">
        <f t="shared" si="1"/>
        <v>0</v>
      </c>
      <c r="BB11" s="27">
        <f t="shared" si="1"/>
        <v>0</v>
      </c>
      <c r="BC11" s="27"/>
      <c r="BD11" s="27"/>
      <c r="BE11" s="27"/>
      <c r="BF11" s="27"/>
      <c r="BG11" s="27"/>
      <c r="BH11" s="27"/>
      <c r="BI11" s="27"/>
      <c r="BJ11" s="27"/>
      <c r="BK11" s="27">
        <f t="shared" si="1"/>
        <v>8</v>
      </c>
      <c r="BL11" s="27">
        <f t="shared" si="1"/>
        <v>7</v>
      </c>
      <c r="BM11" s="27">
        <f t="shared" si="1"/>
        <v>0</v>
      </c>
      <c r="BN11" s="27">
        <f t="shared" si="1"/>
        <v>0</v>
      </c>
      <c r="BO11" s="27">
        <f t="shared" ref="BO11:BV11" si="2">SUM(BO3:BO10)</f>
        <v>10</v>
      </c>
      <c r="BP11" s="27">
        <f t="shared" si="2"/>
        <v>7</v>
      </c>
      <c r="BQ11" s="27">
        <f t="shared" si="2"/>
        <v>0</v>
      </c>
      <c r="BR11" s="27">
        <f t="shared" si="2"/>
        <v>0</v>
      </c>
      <c r="BS11" s="27">
        <f t="shared" si="2"/>
        <v>4</v>
      </c>
      <c r="BT11" s="27">
        <f t="shared" si="2"/>
        <v>4</v>
      </c>
      <c r="BU11" s="27">
        <f t="shared" si="2"/>
        <v>0</v>
      </c>
      <c r="BV11" s="27">
        <f t="shared" si="2"/>
        <v>0</v>
      </c>
    </row>
    <row r="12" spans="1:74" s="7" customFormat="1" ht="21" x14ac:dyDescent="0.35">
      <c r="A12" s="6"/>
      <c r="B12" s="8" t="s">
        <v>7</v>
      </c>
      <c r="C12" s="85">
        <f>SUM(C11+D11+E11+F11)</f>
        <v>1280</v>
      </c>
      <c r="D12" s="9"/>
      <c r="E12" s="9"/>
      <c r="F12" s="9"/>
      <c r="G12" s="8">
        <f>SUM(G11+H11+I11+J11)</f>
        <v>0</v>
      </c>
      <c r="H12" s="9"/>
      <c r="I12" s="9"/>
      <c r="J12" s="9"/>
      <c r="K12" s="8">
        <f>SUM(K11+L11+M11+N11)</f>
        <v>870</v>
      </c>
      <c r="L12" s="9"/>
      <c r="M12" s="9"/>
      <c r="N12" s="9"/>
      <c r="O12" s="8">
        <f>SUM(O11+P11+Q11+R11)</f>
        <v>0</v>
      </c>
      <c r="P12" s="9"/>
      <c r="Q12" s="9"/>
      <c r="R12" s="9"/>
      <c r="S12" s="8">
        <f>SUM(S11+T11+U11+V11)</f>
        <v>723</v>
      </c>
      <c r="T12" s="9"/>
      <c r="U12" s="9"/>
      <c r="V12" s="9"/>
      <c r="W12" s="8">
        <f>SUM(W11+X11+Y11+Z11)</f>
        <v>0</v>
      </c>
      <c r="X12" s="9"/>
      <c r="Y12" s="9"/>
      <c r="Z12" s="9"/>
      <c r="AA12" s="8">
        <f>SUM(AA11+AB11+AC11+AD11)</f>
        <v>0</v>
      </c>
      <c r="AB12" s="9"/>
      <c r="AC12" s="9"/>
      <c r="AD12" s="9"/>
      <c r="AE12" s="8">
        <f>SUM(AE11:AH11)</f>
        <v>1238</v>
      </c>
      <c r="AF12" s="9"/>
      <c r="AG12" s="9"/>
      <c r="AH12" s="9"/>
      <c r="AI12" s="8">
        <f>SUM(AI11+AJ11+AK11+AL11)</f>
        <v>301</v>
      </c>
      <c r="AJ12" s="9"/>
      <c r="AK12" s="9"/>
      <c r="AL12" s="9"/>
      <c r="AM12" s="8">
        <f>SUM(AM11+AN11+AO11+AP11)</f>
        <v>0</v>
      </c>
      <c r="AN12" s="9"/>
      <c r="AO12" s="9"/>
      <c r="AP12" s="9"/>
      <c r="AQ12" s="8">
        <f>SUM(AQ11+AR11+AS11+AT11)</f>
        <v>0</v>
      </c>
      <c r="AR12" s="9"/>
      <c r="AS12" s="9"/>
      <c r="AT12" s="9"/>
      <c r="AU12" s="8">
        <f>SUM(AU11:AX11)</f>
        <v>0</v>
      </c>
      <c r="AV12" s="9"/>
      <c r="AW12" s="9"/>
      <c r="AX12" s="9"/>
      <c r="AY12" s="8">
        <f>SUM(AY11:BB11)</f>
        <v>0</v>
      </c>
      <c r="AZ12" s="9"/>
      <c r="BA12" s="9"/>
      <c r="BB12" s="9"/>
      <c r="BC12" s="126">
        <v>1</v>
      </c>
      <c r="BD12" s="9"/>
      <c r="BE12" s="9"/>
      <c r="BF12" s="9"/>
      <c r="BG12" s="126">
        <v>1</v>
      </c>
      <c r="BH12" s="9"/>
      <c r="BI12" s="9"/>
      <c r="BJ12" s="9"/>
      <c r="BK12" s="8">
        <f>SUM(BK11:BN11)</f>
        <v>15</v>
      </c>
      <c r="BL12" s="9"/>
      <c r="BM12" s="9"/>
      <c r="BN12" s="9"/>
      <c r="BO12" s="8">
        <f>SUM(BO11:BR11)</f>
        <v>17</v>
      </c>
      <c r="BP12" s="9"/>
      <c r="BQ12" s="9"/>
      <c r="BR12" s="9"/>
      <c r="BS12" s="8">
        <f>SUM(BS11:BV11)</f>
        <v>8</v>
      </c>
      <c r="BT12" s="9"/>
      <c r="BU12" s="9"/>
      <c r="BV12" s="9"/>
    </row>
    <row r="13" spans="1:74" ht="21" x14ac:dyDescent="0.35">
      <c r="A13" s="7"/>
    </row>
  </sheetData>
  <mergeCells count="21">
    <mergeCell ref="AY1:BB1"/>
    <mergeCell ref="BG1:BJ1"/>
    <mergeCell ref="BK1:BN1"/>
    <mergeCell ref="BO1:BR1"/>
    <mergeCell ref="BC1:BF1"/>
    <mergeCell ref="BS1:BV1"/>
    <mergeCell ref="A3:A10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V8"/>
  <sheetViews>
    <sheetView topLeftCell="AB1" workbookViewId="0">
      <selection activeCell="AJ3" sqref="AJ3:AJ5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99</v>
      </c>
      <c r="D1" s="154"/>
      <c r="E1" s="154"/>
      <c r="F1" s="155"/>
      <c r="G1" s="139" t="s">
        <v>101</v>
      </c>
      <c r="H1" s="140"/>
      <c r="I1" s="140"/>
      <c r="J1" s="141"/>
      <c r="K1" s="136" t="s">
        <v>100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197</v>
      </c>
      <c r="B3" s="73" t="s">
        <v>85</v>
      </c>
      <c r="C3" s="43"/>
      <c r="D3" s="87">
        <v>150</v>
      </c>
      <c r="E3" s="43"/>
      <c r="F3" s="44"/>
      <c r="G3" s="43"/>
      <c r="H3" s="46"/>
      <c r="I3" s="45"/>
      <c r="J3" s="46"/>
      <c r="K3" s="43"/>
      <c r="L3" s="87">
        <v>109</v>
      </c>
      <c r="M3" s="43"/>
      <c r="N3" s="44"/>
      <c r="O3" s="43"/>
      <c r="P3" s="46"/>
      <c r="Q3" s="45"/>
      <c r="R3" s="46"/>
      <c r="S3" s="43"/>
      <c r="T3" s="87">
        <v>67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150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4">
        <v>1</v>
      </c>
      <c r="BE3" s="47"/>
      <c r="BF3" s="46"/>
      <c r="BG3" s="43"/>
      <c r="BH3" s="115">
        <v>1</v>
      </c>
      <c r="BI3" s="47"/>
      <c r="BJ3" s="77"/>
      <c r="BK3" s="86">
        <v>5</v>
      </c>
      <c r="BL3" s="87">
        <v>2</v>
      </c>
      <c r="BM3" s="45"/>
      <c r="BN3" s="80"/>
      <c r="BO3" s="86">
        <v>1</v>
      </c>
      <c r="BP3" s="87">
        <v>2</v>
      </c>
      <c r="BQ3" s="43"/>
      <c r="BR3" s="77"/>
      <c r="BS3" s="86">
        <v>1</v>
      </c>
      <c r="BT3" s="122">
        <v>2</v>
      </c>
      <c r="BU3" s="45"/>
      <c r="BV3" s="80"/>
    </row>
    <row r="4" spans="1:74" s="1" customFormat="1" ht="18.75" x14ac:dyDescent="0.25">
      <c r="A4" s="165"/>
      <c r="B4" s="73" t="s">
        <v>196</v>
      </c>
      <c r="C4" s="43"/>
      <c r="D4" s="87">
        <v>185</v>
      </c>
      <c r="E4" s="43"/>
      <c r="F4" s="44"/>
      <c r="G4" s="43"/>
      <c r="H4" s="46"/>
      <c r="I4" s="45"/>
      <c r="J4" s="46"/>
      <c r="K4" s="43"/>
      <c r="L4" s="87">
        <v>100</v>
      </c>
      <c r="M4" s="43"/>
      <c r="N4" s="44"/>
      <c r="O4" s="43"/>
      <c r="P4" s="46"/>
      <c r="Q4" s="45"/>
      <c r="R4" s="46"/>
      <c r="S4" s="43"/>
      <c r="T4" s="87">
        <v>100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110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4">
        <v>1</v>
      </c>
      <c r="BE4" s="47"/>
      <c r="BF4" s="46"/>
      <c r="BG4" s="43"/>
      <c r="BH4" s="115">
        <v>1</v>
      </c>
      <c r="BI4" s="47"/>
      <c r="BJ4" s="77"/>
      <c r="BK4" s="86">
        <v>3</v>
      </c>
      <c r="BL4" s="87">
        <v>1</v>
      </c>
      <c r="BM4" s="45"/>
      <c r="BN4" s="80"/>
      <c r="BO4" s="86">
        <v>2</v>
      </c>
      <c r="BP4" s="87">
        <v>2</v>
      </c>
      <c r="BQ4" s="43"/>
      <c r="BR4" s="77"/>
      <c r="BS4" s="91"/>
      <c r="BT4" s="92"/>
      <c r="BU4" s="93"/>
      <c r="BV4" s="93"/>
    </row>
    <row r="5" spans="1:74" s="1" customFormat="1" ht="18.75" x14ac:dyDescent="0.25">
      <c r="A5" s="165"/>
      <c r="B5" s="89" t="s">
        <v>237</v>
      </c>
      <c r="C5" s="43"/>
      <c r="D5" s="87">
        <v>180</v>
      </c>
      <c r="E5" s="43"/>
      <c r="F5" s="44"/>
      <c r="G5" s="43"/>
      <c r="H5" s="46"/>
      <c r="I5" s="45"/>
      <c r="J5" s="46"/>
      <c r="K5" s="43"/>
      <c r="L5" s="87">
        <v>110</v>
      </c>
      <c r="M5" s="43"/>
      <c r="N5" s="44"/>
      <c r="O5" s="43"/>
      <c r="P5" s="46"/>
      <c r="Q5" s="45"/>
      <c r="R5" s="46"/>
      <c r="S5" s="43"/>
      <c r="T5" s="87">
        <v>51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148</v>
      </c>
      <c r="AF5" s="46"/>
      <c r="AG5" s="47"/>
      <c r="AH5" s="46"/>
      <c r="AI5" s="43"/>
      <c r="AJ5" s="168">
        <v>0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14">
        <v>1</v>
      </c>
      <c r="BE5" s="47"/>
      <c r="BF5" s="46"/>
      <c r="BG5" s="43"/>
      <c r="BH5" s="115">
        <v>1</v>
      </c>
      <c r="BI5" s="47"/>
      <c r="BJ5" s="77"/>
      <c r="BK5" s="86">
        <v>2</v>
      </c>
      <c r="BL5" s="87">
        <v>2</v>
      </c>
      <c r="BM5" s="45"/>
      <c r="BN5" s="80"/>
      <c r="BO5" s="86">
        <v>3</v>
      </c>
      <c r="BP5" s="87">
        <v>2</v>
      </c>
      <c r="BQ5" s="43"/>
      <c r="BR5" s="77"/>
      <c r="BS5" s="91"/>
      <c r="BT5" s="92"/>
      <c r="BU5" s="93"/>
      <c r="BV5" s="93"/>
    </row>
    <row r="6" spans="1:74" s="6" customFormat="1" ht="19.5" x14ac:dyDescent="0.3">
      <c r="A6" s="84"/>
      <c r="B6" s="28"/>
      <c r="C6" s="83">
        <f t="shared" ref="C6:AH6" si="0">SUM(C3:C5)</f>
        <v>0</v>
      </c>
      <c r="D6" s="27">
        <f t="shared" si="0"/>
        <v>515</v>
      </c>
      <c r="E6" s="27">
        <f t="shared" si="0"/>
        <v>0</v>
      </c>
      <c r="F6" s="27">
        <f t="shared" si="0"/>
        <v>0</v>
      </c>
      <c r="G6" s="27">
        <f t="shared" si="0"/>
        <v>0</v>
      </c>
      <c r="H6" s="27">
        <f t="shared" si="0"/>
        <v>0</v>
      </c>
      <c r="I6" s="27">
        <f t="shared" si="0"/>
        <v>0</v>
      </c>
      <c r="J6" s="27">
        <f t="shared" si="0"/>
        <v>0</v>
      </c>
      <c r="K6" s="27">
        <f t="shared" si="0"/>
        <v>0</v>
      </c>
      <c r="L6" s="27">
        <f t="shared" si="0"/>
        <v>319</v>
      </c>
      <c r="M6" s="27">
        <f t="shared" si="0"/>
        <v>0</v>
      </c>
      <c r="N6" s="27">
        <f t="shared" si="0"/>
        <v>0</v>
      </c>
      <c r="O6" s="27">
        <f t="shared" si="0"/>
        <v>0</v>
      </c>
      <c r="P6" s="27">
        <f t="shared" si="0"/>
        <v>0</v>
      </c>
      <c r="Q6" s="27">
        <f t="shared" si="0"/>
        <v>0</v>
      </c>
      <c r="R6" s="27">
        <f t="shared" si="0"/>
        <v>0</v>
      </c>
      <c r="S6" s="27">
        <f t="shared" si="0"/>
        <v>0</v>
      </c>
      <c r="T6" s="27">
        <f t="shared" si="0"/>
        <v>218</v>
      </c>
      <c r="U6" s="27">
        <f t="shared" si="0"/>
        <v>0</v>
      </c>
      <c r="V6" s="27">
        <f t="shared" si="0"/>
        <v>0</v>
      </c>
      <c r="W6" s="27">
        <f t="shared" si="0"/>
        <v>0</v>
      </c>
      <c r="X6" s="27">
        <f t="shared" si="0"/>
        <v>0</v>
      </c>
      <c r="Y6" s="27">
        <f t="shared" si="0"/>
        <v>0</v>
      </c>
      <c r="Z6" s="27">
        <f t="shared" si="0"/>
        <v>0</v>
      </c>
      <c r="AA6" s="27">
        <f t="shared" si="0"/>
        <v>0</v>
      </c>
      <c r="AB6" s="27">
        <f t="shared" si="0"/>
        <v>0</v>
      </c>
      <c r="AC6" s="27">
        <f t="shared" si="0"/>
        <v>0</v>
      </c>
      <c r="AD6" s="27">
        <f t="shared" si="0"/>
        <v>0</v>
      </c>
      <c r="AE6" s="27">
        <f t="shared" si="0"/>
        <v>408</v>
      </c>
      <c r="AF6" s="27">
        <f t="shared" si="0"/>
        <v>0</v>
      </c>
      <c r="AG6" s="27">
        <f t="shared" si="0"/>
        <v>0</v>
      </c>
      <c r="AH6" s="27">
        <f t="shared" si="0"/>
        <v>0</v>
      </c>
      <c r="AI6" s="27">
        <f t="shared" ref="AI6:BN6" si="1">SUM(AI3:AI5)</f>
        <v>0</v>
      </c>
      <c r="AJ6" s="27">
        <f t="shared" si="1"/>
        <v>0</v>
      </c>
      <c r="AK6" s="27">
        <f t="shared" si="1"/>
        <v>0</v>
      </c>
      <c r="AL6" s="27">
        <f t="shared" si="1"/>
        <v>0</v>
      </c>
      <c r="AM6" s="27">
        <f t="shared" si="1"/>
        <v>0</v>
      </c>
      <c r="AN6" s="27">
        <f t="shared" si="1"/>
        <v>0</v>
      </c>
      <c r="AO6" s="27">
        <f t="shared" si="1"/>
        <v>0</v>
      </c>
      <c r="AP6" s="27">
        <f t="shared" si="1"/>
        <v>0</v>
      </c>
      <c r="AQ6" s="27">
        <f t="shared" si="1"/>
        <v>0</v>
      </c>
      <c r="AR6" s="27">
        <f t="shared" si="1"/>
        <v>0</v>
      </c>
      <c r="AS6" s="27">
        <f t="shared" si="1"/>
        <v>0</v>
      </c>
      <c r="AT6" s="27">
        <f t="shared" si="1"/>
        <v>0</v>
      </c>
      <c r="AU6" s="27">
        <f t="shared" si="1"/>
        <v>0</v>
      </c>
      <c r="AV6" s="27">
        <f t="shared" si="1"/>
        <v>0</v>
      </c>
      <c r="AW6" s="27">
        <f t="shared" si="1"/>
        <v>0</v>
      </c>
      <c r="AX6" s="27">
        <f t="shared" si="1"/>
        <v>0</v>
      </c>
      <c r="AY6" s="27">
        <f t="shared" si="1"/>
        <v>0</v>
      </c>
      <c r="AZ6" s="27">
        <f t="shared" si="1"/>
        <v>0</v>
      </c>
      <c r="BA6" s="27">
        <f t="shared" si="1"/>
        <v>0</v>
      </c>
      <c r="BB6" s="27">
        <f t="shared" si="1"/>
        <v>0</v>
      </c>
      <c r="BC6" s="27"/>
      <c r="BD6" s="126"/>
      <c r="BE6" s="27"/>
      <c r="BF6" s="27"/>
      <c r="BG6" s="27"/>
      <c r="BH6" s="127"/>
      <c r="BI6" s="27"/>
      <c r="BJ6" s="27"/>
      <c r="BK6" s="27">
        <f t="shared" si="1"/>
        <v>10</v>
      </c>
      <c r="BL6" s="27">
        <f t="shared" si="1"/>
        <v>5</v>
      </c>
      <c r="BM6" s="27">
        <f t="shared" si="1"/>
        <v>0</v>
      </c>
      <c r="BN6" s="27">
        <f t="shared" si="1"/>
        <v>0</v>
      </c>
      <c r="BO6" s="27">
        <f t="shared" ref="BO6:BV6" si="2">SUM(BO3:BO5)</f>
        <v>6</v>
      </c>
      <c r="BP6" s="27">
        <f t="shared" si="2"/>
        <v>6</v>
      </c>
      <c r="BQ6" s="27">
        <f t="shared" si="2"/>
        <v>0</v>
      </c>
      <c r="BR6" s="27">
        <f t="shared" si="2"/>
        <v>0</v>
      </c>
      <c r="BS6" s="27">
        <f t="shared" si="2"/>
        <v>1</v>
      </c>
      <c r="BT6" s="27">
        <f t="shared" si="2"/>
        <v>2</v>
      </c>
      <c r="BU6" s="27">
        <f t="shared" si="2"/>
        <v>0</v>
      </c>
      <c r="BV6" s="27">
        <f t="shared" si="2"/>
        <v>0</v>
      </c>
    </row>
    <row r="7" spans="1:74" s="7" customFormat="1" ht="21" x14ac:dyDescent="0.35">
      <c r="A7" s="6"/>
      <c r="B7" s="8" t="s">
        <v>7</v>
      </c>
      <c r="C7" s="85">
        <f>SUM(C6+D6+E6+F6)</f>
        <v>515</v>
      </c>
      <c r="D7" s="9"/>
      <c r="E7" s="9"/>
      <c r="F7" s="9"/>
      <c r="G7" s="8">
        <f>SUM(G6+H6+I6+J6)</f>
        <v>0</v>
      </c>
      <c r="H7" s="9"/>
      <c r="I7" s="9"/>
      <c r="J7" s="9"/>
      <c r="K7" s="8">
        <f>SUM(K6+L6+M6+N6)</f>
        <v>319</v>
      </c>
      <c r="L7" s="9"/>
      <c r="M7" s="9"/>
      <c r="N7" s="9"/>
      <c r="O7" s="8">
        <f>SUM(O6+P6+Q6+R6)</f>
        <v>0</v>
      </c>
      <c r="P7" s="9"/>
      <c r="Q7" s="9"/>
      <c r="R7" s="9"/>
      <c r="S7" s="8">
        <f>SUM(S6+T6+U6+V6)</f>
        <v>218</v>
      </c>
      <c r="T7" s="9"/>
      <c r="U7" s="9"/>
      <c r="V7" s="9"/>
      <c r="W7" s="8">
        <f>SUM(W6+X6+Y6+Z6)</f>
        <v>0</v>
      </c>
      <c r="X7" s="9"/>
      <c r="Y7" s="9"/>
      <c r="Z7" s="9"/>
      <c r="AA7" s="8">
        <f>SUM(AA6+AB6+AC6+AD6)</f>
        <v>0</v>
      </c>
      <c r="AB7" s="9"/>
      <c r="AC7" s="9"/>
      <c r="AD7" s="9"/>
      <c r="AE7" s="8">
        <f>SUM(AE6:AH6)</f>
        <v>408</v>
      </c>
      <c r="AF7" s="9"/>
      <c r="AG7" s="9"/>
      <c r="AH7" s="9"/>
      <c r="AI7" s="8">
        <f>SUM(AI6+AJ6+AK6+AL6)</f>
        <v>0</v>
      </c>
      <c r="AJ7" s="9"/>
      <c r="AK7" s="9"/>
      <c r="AL7" s="9"/>
      <c r="AM7" s="8">
        <f>SUM(AM6+AN6+AO6+AP6)</f>
        <v>0</v>
      </c>
      <c r="AN7" s="9"/>
      <c r="AO7" s="9"/>
      <c r="AP7" s="9"/>
      <c r="AQ7" s="8">
        <f>SUM(AQ6+AR6+AS6+AT6)</f>
        <v>0</v>
      </c>
      <c r="AR7" s="9"/>
      <c r="AS7" s="9"/>
      <c r="AT7" s="9"/>
      <c r="AU7" s="8">
        <f>SUM(AU6:AX6)</f>
        <v>0</v>
      </c>
      <c r="AV7" s="9"/>
      <c r="AW7" s="9"/>
      <c r="AX7" s="9"/>
      <c r="AY7" s="8">
        <f>SUM(AY6:BB6)</f>
        <v>0</v>
      </c>
      <c r="AZ7" s="9"/>
      <c r="BA7" s="9"/>
      <c r="BB7" s="9"/>
      <c r="BC7" s="126">
        <v>1</v>
      </c>
      <c r="BD7" s="9"/>
      <c r="BE7" s="9"/>
      <c r="BF7" s="9"/>
      <c r="BG7" s="127">
        <v>1</v>
      </c>
      <c r="BH7" s="9"/>
      <c r="BI7" s="9"/>
      <c r="BJ7" s="9"/>
      <c r="BK7" s="8">
        <f>SUM(BK6:BN6)</f>
        <v>15</v>
      </c>
      <c r="BL7" s="9"/>
      <c r="BM7" s="9"/>
      <c r="BN7" s="9"/>
      <c r="BO7" s="8">
        <f>SUM(BO6:BR6)</f>
        <v>12</v>
      </c>
      <c r="BP7" s="9"/>
      <c r="BQ7" s="9"/>
      <c r="BR7" s="9"/>
      <c r="BS7" s="8">
        <f>SUM(BS6:BV6)</f>
        <v>3</v>
      </c>
      <c r="BT7" s="9"/>
      <c r="BU7" s="9"/>
      <c r="BV7" s="9"/>
    </row>
    <row r="8" spans="1:74" ht="21" x14ac:dyDescent="0.35">
      <c r="A8" s="7"/>
    </row>
  </sheetData>
  <mergeCells count="21">
    <mergeCell ref="AY1:BB1"/>
    <mergeCell ref="BG1:BJ1"/>
    <mergeCell ref="BK1:BN1"/>
    <mergeCell ref="BO1:BR1"/>
    <mergeCell ref="BC1:BF1"/>
    <mergeCell ref="BS1:BV1"/>
    <mergeCell ref="A3:A5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10"/>
  <sheetViews>
    <sheetView zoomScaleNormal="100" workbookViewId="0">
      <selection activeCell="A3" sqref="A3:A7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99</v>
      </c>
      <c r="D1" s="154"/>
      <c r="E1" s="154"/>
      <c r="F1" s="155"/>
      <c r="G1" s="139" t="s">
        <v>101</v>
      </c>
      <c r="H1" s="140"/>
      <c r="I1" s="140"/>
      <c r="J1" s="141"/>
      <c r="K1" s="136" t="s">
        <v>100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199</v>
      </c>
      <c r="B3" s="73" t="s">
        <v>209</v>
      </c>
      <c r="C3" s="43"/>
      <c r="D3" s="87">
        <v>134</v>
      </c>
      <c r="E3" s="43"/>
      <c r="F3" s="44"/>
      <c r="G3" s="43"/>
      <c r="H3" s="46"/>
      <c r="I3" s="45"/>
      <c r="J3" s="46"/>
      <c r="K3" s="43"/>
      <c r="L3" s="87">
        <v>154</v>
      </c>
      <c r="M3" s="43"/>
      <c r="N3" s="44"/>
      <c r="O3" s="43"/>
      <c r="P3" s="46"/>
      <c r="Q3" s="45"/>
      <c r="R3" s="46"/>
      <c r="S3" s="43"/>
      <c r="T3" s="87">
        <v>70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200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20">
        <v>1</v>
      </c>
      <c r="BE3" s="47"/>
      <c r="BF3" s="46"/>
      <c r="BG3" s="43"/>
      <c r="BH3" s="121">
        <v>1</v>
      </c>
      <c r="BI3" s="47"/>
      <c r="BJ3" s="77"/>
      <c r="BK3" s="86">
        <v>2</v>
      </c>
      <c r="BL3" s="87">
        <v>1</v>
      </c>
      <c r="BM3" s="45"/>
      <c r="BN3" s="80"/>
      <c r="BO3" s="86">
        <v>2</v>
      </c>
      <c r="BP3" s="87">
        <v>2</v>
      </c>
      <c r="BQ3" s="43"/>
      <c r="BR3" s="77"/>
      <c r="BS3" s="86">
        <v>3</v>
      </c>
      <c r="BT3" s="116">
        <v>2</v>
      </c>
      <c r="BU3" s="45"/>
      <c r="BV3" s="80"/>
    </row>
    <row r="4" spans="1:74" s="1" customFormat="1" ht="18.75" x14ac:dyDescent="0.25">
      <c r="A4" s="165"/>
      <c r="B4" s="73" t="s">
        <v>198</v>
      </c>
      <c r="C4" s="43"/>
      <c r="D4" s="87">
        <v>223</v>
      </c>
      <c r="E4" s="43"/>
      <c r="F4" s="44"/>
      <c r="G4" s="43"/>
      <c r="H4" s="46"/>
      <c r="I4" s="45"/>
      <c r="J4" s="46"/>
      <c r="K4" s="43"/>
      <c r="L4" s="87">
        <v>100</v>
      </c>
      <c r="M4" s="43"/>
      <c r="N4" s="44"/>
      <c r="O4" s="43"/>
      <c r="P4" s="46"/>
      <c r="Q4" s="45"/>
      <c r="R4" s="46"/>
      <c r="S4" s="43"/>
      <c r="T4" s="87">
        <v>45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254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20">
        <v>1</v>
      </c>
      <c r="BE4" s="47"/>
      <c r="BF4" s="46"/>
      <c r="BG4" s="43"/>
      <c r="BH4" s="121">
        <v>1</v>
      </c>
      <c r="BI4" s="47"/>
      <c r="BJ4" s="77"/>
      <c r="BK4" s="86">
        <v>1</v>
      </c>
      <c r="BL4" s="87">
        <v>1</v>
      </c>
      <c r="BM4" s="45"/>
      <c r="BN4" s="80"/>
      <c r="BO4" s="86">
        <v>2</v>
      </c>
      <c r="BP4" s="87">
        <v>1</v>
      </c>
      <c r="BQ4" s="43"/>
      <c r="BR4" s="77"/>
      <c r="BS4" s="43"/>
      <c r="BT4" s="116">
        <v>1</v>
      </c>
      <c r="BU4" s="45"/>
      <c r="BV4" s="80"/>
    </row>
    <row r="5" spans="1:74" s="1" customFormat="1" ht="18.75" x14ac:dyDescent="0.25">
      <c r="A5" s="165"/>
      <c r="B5" s="73" t="s">
        <v>96</v>
      </c>
      <c r="C5" s="43"/>
      <c r="D5" s="87">
        <v>179</v>
      </c>
      <c r="E5" s="43"/>
      <c r="F5" s="44"/>
      <c r="G5" s="43"/>
      <c r="H5" s="46"/>
      <c r="I5" s="45"/>
      <c r="J5" s="46"/>
      <c r="K5" s="43"/>
      <c r="L5" s="87">
        <v>120</v>
      </c>
      <c r="M5" s="43"/>
      <c r="N5" s="44"/>
      <c r="O5" s="43"/>
      <c r="P5" s="46"/>
      <c r="Q5" s="45"/>
      <c r="R5" s="46"/>
      <c r="S5" s="43"/>
      <c r="T5" s="87">
        <v>56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413</v>
      </c>
      <c r="AF5" s="46"/>
      <c r="AG5" s="47"/>
      <c r="AH5" s="46"/>
      <c r="AI5" s="43"/>
      <c r="AJ5" s="168">
        <v>0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20">
        <v>1</v>
      </c>
      <c r="BE5" s="47"/>
      <c r="BF5" s="46"/>
      <c r="BG5" s="43"/>
      <c r="BH5" s="121">
        <v>1</v>
      </c>
      <c r="BI5" s="47"/>
      <c r="BJ5" s="77"/>
      <c r="BK5" s="86">
        <v>1</v>
      </c>
      <c r="BL5" s="168">
        <v>0</v>
      </c>
      <c r="BM5" s="45"/>
      <c r="BN5" s="80"/>
      <c r="BO5" s="43"/>
      <c r="BP5" s="168">
        <v>0</v>
      </c>
      <c r="BQ5" s="43"/>
      <c r="BR5" s="77"/>
      <c r="BS5" s="91"/>
      <c r="BT5" s="92"/>
      <c r="BU5" s="93"/>
      <c r="BV5" s="93"/>
    </row>
    <row r="6" spans="1:74" s="1" customFormat="1" ht="18.75" x14ac:dyDescent="0.25">
      <c r="A6" s="165"/>
      <c r="B6" s="73" t="s">
        <v>97</v>
      </c>
      <c r="C6" s="43"/>
      <c r="D6" s="87">
        <v>329</v>
      </c>
      <c r="E6" s="43"/>
      <c r="F6" s="44"/>
      <c r="G6" s="43"/>
      <c r="H6" s="46"/>
      <c r="I6" s="45"/>
      <c r="J6" s="46"/>
      <c r="K6" s="43"/>
      <c r="L6" s="87">
        <v>182</v>
      </c>
      <c r="M6" s="43"/>
      <c r="N6" s="44"/>
      <c r="O6" s="43"/>
      <c r="P6" s="46"/>
      <c r="Q6" s="45"/>
      <c r="R6" s="46"/>
      <c r="S6" s="43"/>
      <c r="T6" s="87">
        <v>50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220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20">
        <v>1</v>
      </c>
      <c r="BE6" s="47"/>
      <c r="BF6" s="46"/>
      <c r="BG6" s="43"/>
      <c r="BH6" s="121">
        <v>1</v>
      </c>
      <c r="BI6" s="47"/>
      <c r="BJ6" s="77"/>
      <c r="BK6" s="86">
        <v>2</v>
      </c>
      <c r="BL6" s="87">
        <v>2</v>
      </c>
      <c r="BM6" s="45"/>
      <c r="BN6" s="80"/>
      <c r="BO6" s="86">
        <v>2</v>
      </c>
      <c r="BP6" s="87">
        <v>2</v>
      </c>
      <c r="BQ6" s="43"/>
      <c r="BR6" s="77"/>
      <c r="BS6" s="91"/>
      <c r="BT6" s="92"/>
      <c r="BU6" s="93"/>
      <c r="BV6" s="93"/>
    </row>
    <row r="7" spans="1:74" s="1" customFormat="1" ht="18.75" x14ac:dyDescent="0.25">
      <c r="A7" s="165"/>
      <c r="B7" s="73" t="s">
        <v>98</v>
      </c>
      <c r="C7" s="43"/>
      <c r="D7" s="87">
        <v>136</v>
      </c>
      <c r="E7" s="43"/>
      <c r="F7" s="44"/>
      <c r="G7" s="43"/>
      <c r="H7" s="46"/>
      <c r="I7" s="45"/>
      <c r="J7" s="46"/>
      <c r="K7" s="43"/>
      <c r="L7" s="87">
        <v>113</v>
      </c>
      <c r="M7" s="43"/>
      <c r="N7" s="44"/>
      <c r="O7" s="43"/>
      <c r="P7" s="46"/>
      <c r="Q7" s="45"/>
      <c r="R7" s="46"/>
      <c r="S7" s="43"/>
      <c r="T7" s="87">
        <v>68</v>
      </c>
      <c r="U7" s="45"/>
      <c r="V7" s="44"/>
      <c r="W7" s="43"/>
      <c r="X7" s="46"/>
      <c r="Y7" s="43"/>
      <c r="Z7" s="46"/>
      <c r="AA7" s="43"/>
      <c r="AB7" s="44"/>
      <c r="AC7" s="45"/>
      <c r="AD7" s="44"/>
      <c r="AE7" s="87">
        <v>185</v>
      </c>
      <c r="AF7" s="46"/>
      <c r="AG7" s="47"/>
      <c r="AH7" s="46"/>
      <c r="AI7" s="43"/>
      <c r="AJ7" s="168">
        <v>0</v>
      </c>
      <c r="AK7" s="45"/>
      <c r="AL7" s="44"/>
      <c r="AM7" s="43"/>
      <c r="AN7" s="46"/>
      <c r="AO7" s="43"/>
      <c r="AP7" s="46"/>
      <c r="AQ7" s="43"/>
      <c r="AR7" s="44"/>
      <c r="AS7" s="45"/>
      <c r="AT7" s="77"/>
      <c r="AU7" s="43"/>
      <c r="AV7" s="46"/>
      <c r="AW7" s="47"/>
      <c r="AX7" s="46"/>
      <c r="AY7" s="43"/>
      <c r="AZ7" s="44"/>
      <c r="BA7" s="45"/>
      <c r="BB7" s="77"/>
      <c r="BC7" s="43"/>
      <c r="BD7" s="120">
        <v>1</v>
      </c>
      <c r="BE7" s="47"/>
      <c r="BF7" s="46"/>
      <c r="BG7" s="43"/>
      <c r="BH7" s="121">
        <v>1</v>
      </c>
      <c r="BI7" s="47"/>
      <c r="BJ7" s="77"/>
      <c r="BK7" s="86">
        <v>3</v>
      </c>
      <c r="BL7" s="87">
        <v>2</v>
      </c>
      <c r="BM7" s="45"/>
      <c r="BN7" s="80"/>
      <c r="BO7" s="86">
        <v>3</v>
      </c>
      <c r="BP7" s="87">
        <v>1</v>
      </c>
      <c r="BQ7" s="43"/>
      <c r="BR7" s="77"/>
      <c r="BS7" s="91"/>
      <c r="BT7" s="92"/>
      <c r="BU7" s="93"/>
      <c r="BV7" s="93"/>
    </row>
    <row r="8" spans="1:74" s="6" customFormat="1" ht="19.5" x14ac:dyDescent="0.3">
      <c r="A8" s="84"/>
      <c r="B8" s="28"/>
      <c r="C8" s="83">
        <f t="shared" ref="C8:AH8" si="0">SUM(C3:C7)</f>
        <v>0</v>
      </c>
      <c r="D8" s="27">
        <f t="shared" si="0"/>
        <v>1001</v>
      </c>
      <c r="E8" s="27">
        <f t="shared" si="0"/>
        <v>0</v>
      </c>
      <c r="F8" s="27">
        <f t="shared" si="0"/>
        <v>0</v>
      </c>
      <c r="G8" s="27">
        <f t="shared" si="0"/>
        <v>0</v>
      </c>
      <c r="H8" s="27">
        <f t="shared" si="0"/>
        <v>0</v>
      </c>
      <c r="I8" s="27">
        <f t="shared" si="0"/>
        <v>0</v>
      </c>
      <c r="J8" s="27">
        <f t="shared" si="0"/>
        <v>0</v>
      </c>
      <c r="K8" s="27">
        <f t="shared" si="0"/>
        <v>0</v>
      </c>
      <c r="L8" s="27">
        <f t="shared" si="0"/>
        <v>669</v>
      </c>
      <c r="M8" s="27">
        <f t="shared" si="0"/>
        <v>0</v>
      </c>
      <c r="N8" s="27">
        <f t="shared" si="0"/>
        <v>0</v>
      </c>
      <c r="O8" s="27">
        <f t="shared" si="0"/>
        <v>0</v>
      </c>
      <c r="P8" s="27">
        <f t="shared" si="0"/>
        <v>0</v>
      </c>
      <c r="Q8" s="27">
        <f t="shared" si="0"/>
        <v>0</v>
      </c>
      <c r="R8" s="27">
        <f t="shared" si="0"/>
        <v>0</v>
      </c>
      <c r="S8" s="27">
        <f t="shared" si="0"/>
        <v>0</v>
      </c>
      <c r="T8" s="27">
        <f t="shared" si="0"/>
        <v>289</v>
      </c>
      <c r="U8" s="27">
        <f t="shared" si="0"/>
        <v>0</v>
      </c>
      <c r="V8" s="27">
        <f t="shared" si="0"/>
        <v>0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7">
        <f t="shared" si="0"/>
        <v>0</v>
      </c>
      <c r="AD8" s="27">
        <f t="shared" si="0"/>
        <v>0</v>
      </c>
      <c r="AE8" s="27">
        <f t="shared" si="0"/>
        <v>1272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ref="AI8:BN8" si="1">SUM(AI3:AI7)</f>
        <v>0</v>
      </c>
      <c r="AJ8" s="27">
        <f t="shared" si="1"/>
        <v>0</v>
      </c>
      <c r="AK8" s="27">
        <f t="shared" si="1"/>
        <v>0</v>
      </c>
      <c r="AL8" s="27">
        <f t="shared" si="1"/>
        <v>0</v>
      </c>
      <c r="AM8" s="27">
        <f t="shared" si="1"/>
        <v>0</v>
      </c>
      <c r="AN8" s="27">
        <f t="shared" si="1"/>
        <v>0</v>
      </c>
      <c r="AO8" s="27">
        <f t="shared" si="1"/>
        <v>0</v>
      </c>
      <c r="AP8" s="27">
        <f t="shared" si="1"/>
        <v>0</v>
      </c>
      <c r="AQ8" s="27">
        <f t="shared" si="1"/>
        <v>0</v>
      </c>
      <c r="AR8" s="27">
        <f t="shared" si="1"/>
        <v>0</v>
      </c>
      <c r="AS8" s="27">
        <f t="shared" si="1"/>
        <v>0</v>
      </c>
      <c r="AT8" s="27">
        <f t="shared" si="1"/>
        <v>0</v>
      </c>
      <c r="AU8" s="27">
        <f t="shared" si="1"/>
        <v>0</v>
      </c>
      <c r="AV8" s="27">
        <f t="shared" si="1"/>
        <v>0</v>
      </c>
      <c r="AW8" s="27">
        <f t="shared" si="1"/>
        <v>0</v>
      </c>
      <c r="AX8" s="27">
        <f t="shared" si="1"/>
        <v>0</v>
      </c>
      <c r="AY8" s="27">
        <f t="shared" si="1"/>
        <v>0</v>
      </c>
      <c r="AZ8" s="27">
        <f t="shared" si="1"/>
        <v>0</v>
      </c>
      <c r="BA8" s="27">
        <f t="shared" si="1"/>
        <v>0</v>
      </c>
      <c r="BB8" s="27">
        <f t="shared" si="1"/>
        <v>0</v>
      </c>
      <c r="BC8" s="120">
        <v>1</v>
      </c>
      <c r="BD8" s="27">
        <f t="shared" si="1"/>
        <v>5</v>
      </c>
      <c r="BE8" s="27">
        <f t="shared" si="1"/>
        <v>0</v>
      </c>
      <c r="BF8" s="27">
        <f t="shared" si="1"/>
        <v>0</v>
      </c>
      <c r="BG8" s="121">
        <v>1</v>
      </c>
      <c r="BH8" s="27">
        <f t="shared" si="1"/>
        <v>5</v>
      </c>
      <c r="BI8" s="27">
        <f t="shared" si="1"/>
        <v>0</v>
      </c>
      <c r="BJ8" s="27">
        <f t="shared" si="1"/>
        <v>0</v>
      </c>
      <c r="BK8" s="27">
        <f t="shared" si="1"/>
        <v>9</v>
      </c>
      <c r="BL8" s="27">
        <f t="shared" si="1"/>
        <v>6</v>
      </c>
      <c r="BM8" s="27">
        <f t="shared" si="1"/>
        <v>0</v>
      </c>
      <c r="BN8" s="27">
        <f t="shared" si="1"/>
        <v>0</v>
      </c>
      <c r="BO8" s="27">
        <f t="shared" ref="BO8:BV8" si="2">SUM(BO3:BO7)</f>
        <v>9</v>
      </c>
      <c r="BP8" s="27">
        <f t="shared" si="2"/>
        <v>6</v>
      </c>
      <c r="BQ8" s="27">
        <f t="shared" si="2"/>
        <v>0</v>
      </c>
      <c r="BR8" s="27">
        <f t="shared" si="2"/>
        <v>0</v>
      </c>
      <c r="BS8" s="27">
        <f t="shared" si="2"/>
        <v>3</v>
      </c>
      <c r="BT8" s="27">
        <f t="shared" si="2"/>
        <v>3</v>
      </c>
      <c r="BU8" s="27">
        <f t="shared" si="2"/>
        <v>0</v>
      </c>
      <c r="BV8" s="27">
        <f t="shared" si="2"/>
        <v>0</v>
      </c>
    </row>
    <row r="9" spans="1:74" s="7" customFormat="1" ht="21" x14ac:dyDescent="0.35">
      <c r="A9" s="6"/>
      <c r="B9" s="8" t="s">
        <v>7</v>
      </c>
      <c r="C9" s="85">
        <f>SUM(C8+D8+E8+F8)</f>
        <v>1001</v>
      </c>
      <c r="D9" s="9"/>
      <c r="E9" s="9"/>
      <c r="F9" s="9"/>
      <c r="G9" s="8">
        <f>SUM(G8+H8+I8+J8)</f>
        <v>0</v>
      </c>
      <c r="H9" s="9"/>
      <c r="I9" s="9"/>
      <c r="J9" s="9"/>
      <c r="K9" s="8">
        <f>SUM(K8+L8+M8+N8)</f>
        <v>669</v>
      </c>
      <c r="L9" s="9"/>
      <c r="M9" s="9"/>
      <c r="N9" s="9"/>
      <c r="O9" s="8">
        <f>SUM(O8+P8+Q8+R8)</f>
        <v>0</v>
      </c>
      <c r="P9" s="9"/>
      <c r="Q9" s="9"/>
      <c r="R9" s="9"/>
      <c r="S9" s="8">
        <f>SUM(S8+T8+U8+V8)</f>
        <v>289</v>
      </c>
      <c r="T9" s="9"/>
      <c r="U9" s="9"/>
      <c r="V9" s="9"/>
      <c r="W9" s="8">
        <f>SUM(W8+X8+Y8+Z8)</f>
        <v>0</v>
      </c>
      <c r="X9" s="9"/>
      <c r="Y9" s="9"/>
      <c r="Z9" s="9"/>
      <c r="AA9" s="8">
        <f>SUM(AA8+AB8+AC8+AD8)</f>
        <v>0</v>
      </c>
      <c r="AB9" s="9"/>
      <c r="AC9" s="9"/>
      <c r="AD9" s="9"/>
      <c r="AE9" s="8">
        <f>SUM(AE8:AH8)</f>
        <v>1272</v>
      </c>
      <c r="AF9" s="9"/>
      <c r="AG9" s="9"/>
      <c r="AH9" s="9"/>
      <c r="AI9" s="8">
        <f>SUM(AI8+AJ8+AK8+AL8)</f>
        <v>0</v>
      </c>
      <c r="AJ9" s="9"/>
      <c r="AK9" s="9"/>
      <c r="AL9" s="9"/>
      <c r="AM9" s="8">
        <f>SUM(AM8+AN8+AO8+AP8)</f>
        <v>0</v>
      </c>
      <c r="AN9" s="9"/>
      <c r="AO9" s="9"/>
      <c r="AP9" s="9"/>
      <c r="AQ9" s="8">
        <f>SUM(AQ8+AR8+AS8+AT8)</f>
        <v>0</v>
      </c>
      <c r="AR9" s="9"/>
      <c r="AS9" s="9"/>
      <c r="AT9" s="9"/>
      <c r="AU9" s="8">
        <f>SUM(AU8:AX8)</f>
        <v>0</v>
      </c>
      <c r="AV9" s="9"/>
      <c r="AW9" s="9"/>
      <c r="AX9" s="9"/>
      <c r="AY9" s="8">
        <f>SUM(AY8:BB8)</f>
        <v>0</v>
      </c>
      <c r="AZ9" s="9"/>
      <c r="BA9" s="9"/>
      <c r="BB9" s="9"/>
      <c r="BC9" s="8">
        <f>SUM(BC8:BF8)</f>
        <v>6</v>
      </c>
      <c r="BD9" s="9"/>
      <c r="BE9" s="9"/>
      <c r="BF9" s="9"/>
      <c r="BG9" s="8">
        <f>SUM(BG8:BJ8)</f>
        <v>6</v>
      </c>
      <c r="BH9" s="9"/>
      <c r="BI9" s="9"/>
      <c r="BJ9" s="9"/>
      <c r="BK9" s="8">
        <f>SUM(BK8:BN8)</f>
        <v>15</v>
      </c>
      <c r="BL9" s="9"/>
      <c r="BM9" s="9"/>
      <c r="BN9" s="9"/>
      <c r="BO9" s="8">
        <f>SUM(BO8:BR8)</f>
        <v>15</v>
      </c>
      <c r="BP9" s="9"/>
      <c r="BQ9" s="9"/>
      <c r="BR9" s="9"/>
      <c r="BS9" s="8">
        <f>SUM(BS8:BV8)</f>
        <v>6</v>
      </c>
      <c r="BT9" s="9"/>
      <c r="BU9" s="9"/>
      <c r="BV9" s="9"/>
    </row>
    <row r="10" spans="1:74" ht="21" x14ac:dyDescent="0.35">
      <c r="A10" s="7"/>
    </row>
  </sheetData>
  <mergeCells count="21">
    <mergeCell ref="AY1:BB1"/>
    <mergeCell ref="BG1:BJ1"/>
    <mergeCell ref="BK1:BN1"/>
    <mergeCell ref="BO1:BR1"/>
    <mergeCell ref="BC1:BF1"/>
    <mergeCell ref="BS1:BV1"/>
    <mergeCell ref="A3:A7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V9"/>
  <sheetViews>
    <sheetView topLeftCell="BH1" zoomScaleNormal="100" workbookViewId="0">
      <selection activeCell="BT6" sqref="BT6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243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200</v>
      </c>
      <c r="B3" s="73" t="s">
        <v>87</v>
      </c>
      <c r="C3" s="43"/>
      <c r="D3" s="87">
        <v>136</v>
      </c>
      <c r="E3" s="43"/>
      <c r="F3" s="44"/>
      <c r="G3" s="43"/>
      <c r="H3" s="46"/>
      <c r="I3" s="45"/>
      <c r="J3" s="46"/>
      <c r="K3" s="43"/>
      <c r="L3" s="87">
        <v>100</v>
      </c>
      <c r="M3" s="43"/>
      <c r="N3" s="44"/>
      <c r="O3" s="43"/>
      <c r="P3" s="46"/>
      <c r="Q3" s="45"/>
      <c r="R3" s="46"/>
      <c r="S3" s="43"/>
      <c r="T3" s="87">
        <v>60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130</v>
      </c>
      <c r="AF3" s="46"/>
      <c r="AG3" s="47"/>
      <c r="AH3" s="46"/>
      <c r="AI3" s="43"/>
      <c r="AJ3" s="87">
        <v>180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4">
        <v>1</v>
      </c>
      <c r="BE3" s="47"/>
      <c r="BF3" s="46"/>
      <c r="BG3" s="43"/>
      <c r="BH3" s="115">
        <v>1</v>
      </c>
      <c r="BI3" s="47"/>
      <c r="BJ3" s="77"/>
      <c r="BK3" s="86">
        <v>1</v>
      </c>
      <c r="BL3" s="87">
        <v>3</v>
      </c>
      <c r="BM3" s="45"/>
      <c r="BN3" s="80"/>
      <c r="BO3" s="86">
        <v>2</v>
      </c>
      <c r="BP3" s="87">
        <v>2</v>
      </c>
      <c r="BQ3" s="43"/>
      <c r="BR3" s="77"/>
      <c r="BS3" s="86">
        <v>1</v>
      </c>
      <c r="BT3" s="87">
        <v>2</v>
      </c>
      <c r="BU3" s="45"/>
      <c r="BV3" s="80"/>
    </row>
    <row r="4" spans="1:74" s="1" customFormat="1" ht="18.75" x14ac:dyDescent="0.25">
      <c r="A4" s="165"/>
      <c r="B4" s="73" t="s">
        <v>86</v>
      </c>
      <c r="C4" s="43"/>
      <c r="D4" s="87">
        <v>153</v>
      </c>
      <c r="E4" s="43"/>
      <c r="F4" s="44"/>
      <c r="G4" s="43"/>
      <c r="H4" s="46"/>
      <c r="I4" s="45"/>
      <c r="J4" s="46"/>
      <c r="K4" s="43"/>
      <c r="L4" s="87">
        <v>126</v>
      </c>
      <c r="M4" s="43"/>
      <c r="N4" s="44"/>
      <c r="O4" s="43"/>
      <c r="P4" s="46"/>
      <c r="Q4" s="45"/>
      <c r="R4" s="46"/>
      <c r="S4" s="43"/>
      <c r="T4" s="87">
        <v>66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150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4">
        <v>1</v>
      </c>
      <c r="BE4" s="47"/>
      <c r="BF4" s="46"/>
      <c r="BG4" s="43"/>
      <c r="BH4" s="115">
        <v>1</v>
      </c>
      <c r="BI4" s="47"/>
      <c r="BJ4" s="77"/>
      <c r="BK4" s="86">
        <v>2</v>
      </c>
      <c r="BL4" s="87">
        <v>1</v>
      </c>
      <c r="BM4" s="45"/>
      <c r="BN4" s="80"/>
      <c r="BO4" s="43"/>
      <c r="BP4" s="87">
        <v>1</v>
      </c>
      <c r="BQ4" s="43"/>
      <c r="BR4" s="77"/>
      <c r="BS4" s="69"/>
      <c r="BT4" s="70"/>
      <c r="BU4" s="71"/>
      <c r="BV4" s="71"/>
    </row>
    <row r="5" spans="1:74" s="1" customFormat="1" ht="18.75" x14ac:dyDescent="0.25">
      <c r="A5" s="165"/>
      <c r="B5" s="73" t="s">
        <v>89</v>
      </c>
      <c r="C5" s="43"/>
      <c r="D5" s="87">
        <v>193</v>
      </c>
      <c r="E5" s="43"/>
      <c r="F5" s="44"/>
      <c r="G5" s="43"/>
      <c r="H5" s="46"/>
      <c r="I5" s="45"/>
      <c r="J5" s="46"/>
      <c r="K5" s="43"/>
      <c r="L5" s="87">
        <v>198</v>
      </c>
      <c r="M5" s="43"/>
      <c r="N5" s="44"/>
      <c r="O5" s="43"/>
      <c r="P5" s="46"/>
      <c r="Q5" s="45"/>
      <c r="R5" s="46"/>
      <c r="S5" s="43"/>
      <c r="T5" s="87">
        <v>175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195</v>
      </c>
      <c r="AF5" s="46"/>
      <c r="AG5" s="47"/>
      <c r="AH5" s="46"/>
      <c r="AI5" s="43"/>
      <c r="AJ5" s="168">
        <v>0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14">
        <v>1</v>
      </c>
      <c r="BE5" s="47"/>
      <c r="BF5" s="46"/>
      <c r="BG5" s="43"/>
      <c r="BH5" s="115">
        <v>1</v>
      </c>
      <c r="BI5" s="47"/>
      <c r="BJ5" s="77"/>
      <c r="BK5" s="86">
        <v>2</v>
      </c>
      <c r="BL5" s="168">
        <v>0</v>
      </c>
      <c r="BM5" s="45"/>
      <c r="BN5" s="80"/>
      <c r="BO5" s="69"/>
      <c r="BP5" s="87">
        <v>1</v>
      </c>
      <c r="BQ5" s="69"/>
      <c r="BR5" s="71"/>
      <c r="BS5" s="86">
        <v>2</v>
      </c>
      <c r="BT5" s="169">
        <v>0</v>
      </c>
      <c r="BU5" s="45"/>
      <c r="BV5" s="80"/>
    </row>
    <row r="6" spans="1:74" s="1" customFormat="1" ht="18.75" x14ac:dyDescent="0.25">
      <c r="A6" s="165"/>
      <c r="B6" s="73" t="s">
        <v>88</v>
      </c>
      <c r="C6" s="43"/>
      <c r="D6" s="87">
        <v>125</v>
      </c>
      <c r="E6" s="43"/>
      <c r="F6" s="44"/>
      <c r="G6" s="43"/>
      <c r="H6" s="46"/>
      <c r="I6" s="45"/>
      <c r="J6" s="46"/>
      <c r="K6" s="43"/>
      <c r="L6" s="87">
        <v>100</v>
      </c>
      <c r="M6" s="43"/>
      <c r="N6" s="44"/>
      <c r="O6" s="43"/>
      <c r="P6" s="46"/>
      <c r="Q6" s="45"/>
      <c r="R6" s="46"/>
      <c r="S6" s="43"/>
      <c r="T6" s="87">
        <v>50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100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14">
        <v>1</v>
      </c>
      <c r="BE6" s="47"/>
      <c r="BF6" s="46"/>
      <c r="BG6" s="43"/>
      <c r="BH6" s="115">
        <v>1</v>
      </c>
      <c r="BI6" s="47"/>
      <c r="BJ6" s="77"/>
      <c r="BK6" s="43"/>
      <c r="BL6" s="87">
        <v>2</v>
      </c>
      <c r="BM6" s="45"/>
      <c r="BN6" s="80"/>
      <c r="BO6" s="86">
        <v>3</v>
      </c>
      <c r="BP6" s="87">
        <v>3</v>
      </c>
      <c r="BQ6" s="43"/>
      <c r="BR6" s="77"/>
      <c r="BS6" s="69"/>
      <c r="BT6" s="169">
        <v>0</v>
      </c>
      <c r="BU6" s="45"/>
      <c r="BV6" s="80"/>
    </row>
    <row r="7" spans="1:74" s="6" customFormat="1" ht="19.5" x14ac:dyDescent="0.3">
      <c r="A7" s="84"/>
      <c r="B7" s="28"/>
      <c r="C7" s="83">
        <f t="shared" ref="C7:AH7" si="0">SUM(C3:C6)</f>
        <v>0</v>
      </c>
      <c r="D7" s="27">
        <f t="shared" si="0"/>
        <v>607</v>
      </c>
      <c r="E7" s="27">
        <f t="shared" si="0"/>
        <v>0</v>
      </c>
      <c r="F7" s="27">
        <f t="shared" si="0"/>
        <v>0</v>
      </c>
      <c r="G7" s="27">
        <f t="shared" si="0"/>
        <v>0</v>
      </c>
      <c r="H7" s="27">
        <f t="shared" si="0"/>
        <v>0</v>
      </c>
      <c r="I7" s="27">
        <f t="shared" si="0"/>
        <v>0</v>
      </c>
      <c r="J7" s="27">
        <f t="shared" si="0"/>
        <v>0</v>
      </c>
      <c r="K7" s="27">
        <f t="shared" si="0"/>
        <v>0</v>
      </c>
      <c r="L7" s="27">
        <f t="shared" si="0"/>
        <v>524</v>
      </c>
      <c r="M7" s="27">
        <f t="shared" si="0"/>
        <v>0</v>
      </c>
      <c r="N7" s="27">
        <f t="shared" si="0"/>
        <v>0</v>
      </c>
      <c r="O7" s="27">
        <f t="shared" si="0"/>
        <v>0</v>
      </c>
      <c r="P7" s="27">
        <f t="shared" si="0"/>
        <v>0</v>
      </c>
      <c r="Q7" s="27">
        <f t="shared" si="0"/>
        <v>0</v>
      </c>
      <c r="R7" s="27">
        <f t="shared" si="0"/>
        <v>0</v>
      </c>
      <c r="S7" s="27">
        <f t="shared" si="0"/>
        <v>0</v>
      </c>
      <c r="T7" s="27">
        <f t="shared" si="0"/>
        <v>351</v>
      </c>
      <c r="U7" s="27">
        <f t="shared" si="0"/>
        <v>0</v>
      </c>
      <c r="V7" s="27">
        <f t="shared" si="0"/>
        <v>0</v>
      </c>
      <c r="W7" s="27">
        <f t="shared" si="0"/>
        <v>0</v>
      </c>
      <c r="X7" s="27">
        <f t="shared" si="0"/>
        <v>0</v>
      </c>
      <c r="Y7" s="27">
        <f t="shared" si="0"/>
        <v>0</v>
      </c>
      <c r="Z7" s="27">
        <f t="shared" si="0"/>
        <v>0</v>
      </c>
      <c r="AA7" s="27">
        <f t="shared" si="0"/>
        <v>0</v>
      </c>
      <c r="AB7" s="27">
        <f t="shared" si="0"/>
        <v>0</v>
      </c>
      <c r="AC7" s="27">
        <f t="shared" si="0"/>
        <v>0</v>
      </c>
      <c r="AD7" s="27">
        <f t="shared" si="0"/>
        <v>0</v>
      </c>
      <c r="AE7" s="27">
        <f t="shared" si="0"/>
        <v>575</v>
      </c>
      <c r="AF7" s="27">
        <f t="shared" si="0"/>
        <v>0</v>
      </c>
      <c r="AG7" s="27">
        <f t="shared" si="0"/>
        <v>0</v>
      </c>
      <c r="AH7" s="27">
        <f t="shared" si="0"/>
        <v>0</v>
      </c>
      <c r="AI7" s="27">
        <f t="shared" ref="AI7:BN7" si="1">SUM(AI3:AI6)</f>
        <v>0</v>
      </c>
      <c r="AJ7" s="27">
        <f t="shared" si="1"/>
        <v>180</v>
      </c>
      <c r="AK7" s="27">
        <f t="shared" si="1"/>
        <v>0</v>
      </c>
      <c r="AL7" s="27">
        <f t="shared" si="1"/>
        <v>0</v>
      </c>
      <c r="AM7" s="27">
        <f t="shared" si="1"/>
        <v>0</v>
      </c>
      <c r="AN7" s="27">
        <f t="shared" si="1"/>
        <v>0</v>
      </c>
      <c r="AO7" s="27">
        <f t="shared" si="1"/>
        <v>0</v>
      </c>
      <c r="AP7" s="27">
        <f t="shared" si="1"/>
        <v>0</v>
      </c>
      <c r="AQ7" s="27">
        <f t="shared" si="1"/>
        <v>0</v>
      </c>
      <c r="AR7" s="27">
        <f t="shared" si="1"/>
        <v>0</v>
      </c>
      <c r="AS7" s="27">
        <f t="shared" si="1"/>
        <v>0</v>
      </c>
      <c r="AT7" s="27">
        <f t="shared" si="1"/>
        <v>0</v>
      </c>
      <c r="AU7" s="27">
        <f t="shared" si="1"/>
        <v>0</v>
      </c>
      <c r="AV7" s="27">
        <f t="shared" si="1"/>
        <v>0</v>
      </c>
      <c r="AW7" s="27">
        <f t="shared" si="1"/>
        <v>0</v>
      </c>
      <c r="AX7" s="27">
        <f t="shared" si="1"/>
        <v>0</v>
      </c>
      <c r="AY7" s="27">
        <f t="shared" si="1"/>
        <v>0</v>
      </c>
      <c r="AZ7" s="27">
        <f t="shared" si="1"/>
        <v>0</v>
      </c>
      <c r="BA7" s="27">
        <f t="shared" si="1"/>
        <v>0</v>
      </c>
      <c r="BB7" s="27">
        <f t="shared" si="1"/>
        <v>0</v>
      </c>
      <c r="BC7" s="27"/>
      <c r="BD7" s="120"/>
      <c r="BE7" s="27"/>
      <c r="BF7" s="27"/>
      <c r="BG7" s="27"/>
      <c r="BH7" s="121"/>
      <c r="BI7" s="27"/>
      <c r="BJ7" s="27"/>
      <c r="BK7" s="27">
        <f t="shared" si="1"/>
        <v>5</v>
      </c>
      <c r="BL7" s="27">
        <f t="shared" si="1"/>
        <v>6</v>
      </c>
      <c r="BM7" s="27">
        <f t="shared" si="1"/>
        <v>0</v>
      </c>
      <c r="BN7" s="27">
        <f t="shared" si="1"/>
        <v>0</v>
      </c>
      <c r="BO7" s="27">
        <f t="shared" ref="BO7:BV7" si="2">SUM(BO3:BO6)</f>
        <v>5</v>
      </c>
      <c r="BP7" s="27">
        <f t="shared" si="2"/>
        <v>7</v>
      </c>
      <c r="BQ7" s="27">
        <f t="shared" si="2"/>
        <v>0</v>
      </c>
      <c r="BR7" s="27">
        <f t="shared" si="2"/>
        <v>0</v>
      </c>
      <c r="BS7" s="27">
        <f t="shared" si="2"/>
        <v>3</v>
      </c>
      <c r="BT7" s="27">
        <f t="shared" si="2"/>
        <v>2</v>
      </c>
      <c r="BU7" s="27">
        <f t="shared" si="2"/>
        <v>0</v>
      </c>
      <c r="BV7" s="27">
        <f t="shared" si="2"/>
        <v>0</v>
      </c>
    </row>
    <row r="8" spans="1:74" s="7" customFormat="1" ht="21" x14ac:dyDescent="0.35">
      <c r="A8" s="6"/>
      <c r="B8" s="8" t="s">
        <v>7</v>
      </c>
      <c r="C8" s="85">
        <f>SUM(C7+D7+E7+F7)</f>
        <v>607</v>
      </c>
      <c r="D8" s="9"/>
      <c r="E8" s="9"/>
      <c r="F8" s="9"/>
      <c r="G8" s="8">
        <f>SUM(G7+H7+I7+J7)</f>
        <v>0</v>
      </c>
      <c r="H8" s="9"/>
      <c r="I8" s="9"/>
      <c r="J8" s="9"/>
      <c r="K8" s="8">
        <f>SUM(K7+L7+M7+N7)</f>
        <v>524</v>
      </c>
      <c r="L8" s="9"/>
      <c r="M8" s="9"/>
      <c r="N8" s="9"/>
      <c r="O8" s="8">
        <f>SUM(O7+P7+Q7+R7)</f>
        <v>0</v>
      </c>
      <c r="P8" s="9"/>
      <c r="Q8" s="9"/>
      <c r="R8" s="9"/>
      <c r="S8" s="8">
        <f>SUM(S7+T7+U7+V7)</f>
        <v>351</v>
      </c>
      <c r="T8" s="9"/>
      <c r="U8" s="9"/>
      <c r="V8" s="9"/>
      <c r="W8" s="8">
        <f>SUM(W7+X7+Y7+Z7)</f>
        <v>0</v>
      </c>
      <c r="X8" s="9"/>
      <c r="Y8" s="9"/>
      <c r="Z8" s="9"/>
      <c r="AA8" s="8">
        <f>SUM(AA7+AB7+AC7+AD7)</f>
        <v>0</v>
      </c>
      <c r="AB8" s="9"/>
      <c r="AC8" s="9"/>
      <c r="AD8" s="9"/>
      <c r="AE8" s="8">
        <f>SUM(AE7:AH7)</f>
        <v>575</v>
      </c>
      <c r="AF8" s="9"/>
      <c r="AG8" s="9"/>
      <c r="AH8" s="9"/>
      <c r="AI8" s="8">
        <f>SUM(AI7+AJ7+AK7+AL7)</f>
        <v>180</v>
      </c>
      <c r="AJ8" s="9"/>
      <c r="AK8" s="9"/>
      <c r="AL8" s="9"/>
      <c r="AM8" s="8">
        <f>SUM(AM7+AN7+AO7+AP7)</f>
        <v>0</v>
      </c>
      <c r="AN8" s="9"/>
      <c r="AO8" s="9"/>
      <c r="AP8" s="9"/>
      <c r="AQ8" s="8">
        <f>SUM(AQ7+AR7+AS7+AT7)</f>
        <v>0</v>
      </c>
      <c r="AR8" s="9"/>
      <c r="AS8" s="9"/>
      <c r="AT8" s="9"/>
      <c r="AU8" s="8">
        <f>SUM(AU7:AX7)</f>
        <v>0</v>
      </c>
      <c r="AV8" s="9"/>
      <c r="AW8" s="9"/>
      <c r="AX8" s="9"/>
      <c r="AY8" s="8">
        <f>SUM(AY7:BB7)</f>
        <v>0</v>
      </c>
      <c r="AZ8" s="9"/>
      <c r="BA8" s="9"/>
      <c r="BB8" s="9"/>
      <c r="BC8" s="120">
        <v>1</v>
      </c>
      <c r="BD8" s="9"/>
      <c r="BE8" s="9"/>
      <c r="BF8" s="9"/>
      <c r="BG8" s="121">
        <v>1</v>
      </c>
      <c r="BH8" s="9"/>
      <c r="BI8" s="9"/>
      <c r="BJ8" s="9"/>
      <c r="BK8" s="8">
        <f>SUM(BK7:BN7)</f>
        <v>11</v>
      </c>
      <c r="BL8" s="9"/>
      <c r="BM8" s="9"/>
      <c r="BN8" s="9"/>
      <c r="BO8" s="8">
        <f>SUM(BO7:BR7)</f>
        <v>12</v>
      </c>
      <c r="BP8" s="9"/>
      <c r="BQ8" s="9"/>
      <c r="BR8" s="9"/>
      <c r="BS8" s="8">
        <f>SUM(BS7:BV7)</f>
        <v>5</v>
      </c>
      <c r="BT8" s="9"/>
      <c r="BU8" s="9"/>
      <c r="BV8" s="9"/>
    </row>
    <row r="9" spans="1:74" ht="21" x14ac:dyDescent="0.35">
      <c r="A9" s="7"/>
    </row>
  </sheetData>
  <mergeCells count="21">
    <mergeCell ref="AY1:BB1"/>
    <mergeCell ref="BG1:BJ1"/>
    <mergeCell ref="BK1:BN1"/>
    <mergeCell ref="BO1:BR1"/>
    <mergeCell ref="BC1:BF1"/>
    <mergeCell ref="BS1:BV1"/>
    <mergeCell ref="A3:A6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9"/>
  <sheetViews>
    <sheetView topLeftCell="BI1" zoomScaleNormal="100" workbookViewId="0">
      <selection activeCell="BP6" sqref="BP6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243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201</v>
      </c>
      <c r="B3" s="73" t="s">
        <v>92</v>
      </c>
      <c r="C3" s="43"/>
      <c r="D3" s="87">
        <v>146</v>
      </c>
      <c r="E3" s="43"/>
      <c r="F3" s="44"/>
      <c r="G3" s="43"/>
      <c r="H3" s="46"/>
      <c r="I3" s="45"/>
      <c r="J3" s="46"/>
      <c r="K3" s="43"/>
      <c r="L3" s="87">
        <v>130</v>
      </c>
      <c r="M3" s="43"/>
      <c r="N3" s="44"/>
      <c r="O3" s="43"/>
      <c r="P3" s="46"/>
      <c r="Q3" s="45"/>
      <c r="R3" s="46"/>
      <c r="S3" s="43"/>
      <c r="T3" s="87">
        <v>90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477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4">
        <v>1</v>
      </c>
      <c r="BE3" s="47"/>
      <c r="BF3" s="46"/>
      <c r="BG3" s="43"/>
      <c r="BH3" s="115">
        <v>1</v>
      </c>
      <c r="BI3" s="47"/>
      <c r="BJ3" s="77"/>
      <c r="BK3" s="86">
        <v>3</v>
      </c>
      <c r="BL3" s="87">
        <v>3</v>
      </c>
      <c r="BM3" s="45"/>
      <c r="BN3" s="80"/>
      <c r="BO3" s="86">
        <v>2</v>
      </c>
      <c r="BP3" s="87">
        <v>3</v>
      </c>
      <c r="BQ3" s="43"/>
      <c r="BR3" s="77"/>
      <c r="BS3" s="86">
        <v>1</v>
      </c>
      <c r="BT3" s="116">
        <v>2</v>
      </c>
      <c r="BU3" s="45"/>
      <c r="BV3" s="80"/>
    </row>
    <row r="4" spans="1:74" s="1" customFormat="1" ht="18.75" x14ac:dyDescent="0.25">
      <c r="A4" s="165"/>
      <c r="B4" s="73" t="s">
        <v>206</v>
      </c>
      <c r="C4" s="43"/>
      <c r="D4" s="87">
        <v>127</v>
      </c>
      <c r="E4" s="43"/>
      <c r="F4" s="44"/>
      <c r="G4" s="43"/>
      <c r="H4" s="46"/>
      <c r="I4" s="45"/>
      <c r="J4" s="46"/>
      <c r="K4" s="43"/>
      <c r="L4" s="87">
        <v>129</v>
      </c>
      <c r="M4" s="43"/>
      <c r="N4" s="44"/>
      <c r="O4" s="43"/>
      <c r="P4" s="46"/>
      <c r="Q4" s="45"/>
      <c r="R4" s="46"/>
      <c r="S4" s="43"/>
      <c r="T4" s="87">
        <v>69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267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4">
        <v>1</v>
      </c>
      <c r="BE4" s="47"/>
      <c r="BF4" s="46"/>
      <c r="BG4" s="43"/>
      <c r="BH4" s="115">
        <v>1</v>
      </c>
      <c r="BI4" s="47"/>
      <c r="BJ4" s="77"/>
      <c r="BK4" s="86">
        <v>2</v>
      </c>
      <c r="BL4" s="87">
        <v>2</v>
      </c>
      <c r="BM4" s="45"/>
      <c r="BN4" s="80"/>
      <c r="BO4" s="86">
        <v>1</v>
      </c>
      <c r="BP4" s="87">
        <v>2</v>
      </c>
      <c r="BQ4" s="43"/>
      <c r="BR4" s="77"/>
      <c r="BS4" s="86">
        <v>2</v>
      </c>
      <c r="BT4" s="116">
        <v>2</v>
      </c>
      <c r="BU4" s="45"/>
      <c r="BV4" s="80"/>
    </row>
    <row r="5" spans="1:74" s="1" customFormat="1" ht="18.75" x14ac:dyDescent="0.25">
      <c r="A5" s="165"/>
      <c r="B5" s="73" t="s">
        <v>91</v>
      </c>
      <c r="C5" s="43"/>
      <c r="D5" s="87">
        <v>125</v>
      </c>
      <c r="E5" s="43"/>
      <c r="F5" s="44"/>
      <c r="G5" s="43"/>
      <c r="H5" s="46"/>
      <c r="I5" s="45"/>
      <c r="J5" s="46"/>
      <c r="K5" s="43"/>
      <c r="L5" s="87">
        <v>133</v>
      </c>
      <c r="M5" s="43"/>
      <c r="N5" s="44"/>
      <c r="O5" s="43"/>
      <c r="P5" s="46"/>
      <c r="Q5" s="45"/>
      <c r="R5" s="46"/>
      <c r="S5" s="43"/>
      <c r="T5" s="87">
        <v>50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100</v>
      </c>
      <c r="AF5" s="46"/>
      <c r="AG5" s="47"/>
      <c r="AH5" s="46"/>
      <c r="AI5" s="43"/>
      <c r="AJ5" s="168">
        <v>0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14">
        <v>1</v>
      </c>
      <c r="BE5" s="47"/>
      <c r="BF5" s="46"/>
      <c r="BG5" s="43"/>
      <c r="BH5" s="115">
        <v>1</v>
      </c>
      <c r="BI5" s="47"/>
      <c r="BJ5" s="77"/>
      <c r="BK5" s="86">
        <v>3</v>
      </c>
      <c r="BL5" s="87">
        <v>3</v>
      </c>
      <c r="BM5" s="45"/>
      <c r="BN5" s="80"/>
      <c r="BO5" s="86">
        <v>2</v>
      </c>
      <c r="BP5" s="87">
        <v>2</v>
      </c>
      <c r="BQ5" s="43"/>
      <c r="BR5" s="77"/>
      <c r="BS5" s="86">
        <v>1</v>
      </c>
      <c r="BT5" s="169">
        <v>0</v>
      </c>
      <c r="BU5" s="45"/>
      <c r="BV5" s="80"/>
    </row>
    <row r="6" spans="1:74" s="1" customFormat="1" ht="18.75" x14ac:dyDescent="0.25">
      <c r="A6" s="165"/>
      <c r="B6" s="73" t="s">
        <v>207</v>
      </c>
      <c r="C6" s="43"/>
      <c r="D6" s="116">
        <v>180</v>
      </c>
      <c r="E6" s="43"/>
      <c r="F6" s="44"/>
      <c r="G6" s="43"/>
      <c r="H6" s="46"/>
      <c r="I6" s="45"/>
      <c r="J6" s="46"/>
      <c r="K6" s="43"/>
      <c r="L6" s="116">
        <v>114</v>
      </c>
      <c r="M6" s="43"/>
      <c r="N6" s="44"/>
      <c r="O6" s="43"/>
      <c r="P6" s="46"/>
      <c r="Q6" s="45"/>
      <c r="R6" s="46"/>
      <c r="S6" s="43"/>
      <c r="T6" s="116">
        <v>90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137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14">
        <v>1</v>
      </c>
      <c r="BE6" s="47"/>
      <c r="BF6" s="46"/>
      <c r="BG6" s="43"/>
      <c r="BH6" s="115">
        <v>1</v>
      </c>
      <c r="BI6" s="47"/>
      <c r="BJ6" s="77"/>
      <c r="BK6" s="128">
        <v>1</v>
      </c>
      <c r="BL6" s="87">
        <v>2</v>
      </c>
      <c r="BM6" s="45"/>
      <c r="BN6" s="80"/>
      <c r="BO6" s="86">
        <v>1</v>
      </c>
      <c r="BP6" s="168">
        <v>0</v>
      </c>
      <c r="BQ6" s="43"/>
      <c r="BR6" s="77"/>
      <c r="BS6" s="86">
        <v>2</v>
      </c>
      <c r="BT6" s="116">
        <v>2</v>
      </c>
      <c r="BU6" s="45"/>
      <c r="BV6" s="80"/>
    </row>
    <row r="7" spans="1:74" s="6" customFormat="1" ht="19.5" x14ac:dyDescent="0.3">
      <c r="A7" s="84"/>
      <c r="B7" s="28"/>
      <c r="C7" s="83">
        <f t="shared" ref="C7:AH7" si="0">SUM(C3:C6)</f>
        <v>0</v>
      </c>
      <c r="D7" s="27">
        <f t="shared" si="0"/>
        <v>578</v>
      </c>
      <c r="E7" s="27">
        <f t="shared" si="0"/>
        <v>0</v>
      </c>
      <c r="F7" s="27">
        <f t="shared" si="0"/>
        <v>0</v>
      </c>
      <c r="G7" s="27">
        <f t="shared" si="0"/>
        <v>0</v>
      </c>
      <c r="H7" s="27">
        <f t="shared" si="0"/>
        <v>0</v>
      </c>
      <c r="I7" s="27">
        <f t="shared" si="0"/>
        <v>0</v>
      </c>
      <c r="J7" s="27">
        <f t="shared" si="0"/>
        <v>0</v>
      </c>
      <c r="K7" s="27">
        <f t="shared" si="0"/>
        <v>0</v>
      </c>
      <c r="L7" s="27">
        <f t="shared" si="0"/>
        <v>506</v>
      </c>
      <c r="M7" s="27">
        <f t="shared" si="0"/>
        <v>0</v>
      </c>
      <c r="N7" s="27">
        <f t="shared" si="0"/>
        <v>0</v>
      </c>
      <c r="O7" s="27">
        <f t="shared" si="0"/>
        <v>0</v>
      </c>
      <c r="P7" s="27">
        <f t="shared" si="0"/>
        <v>0</v>
      </c>
      <c r="Q7" s="27">
        <f t="shared" si="0"/>
        <v>0</v>
      </c>
      <c r="R7" s="27">
        <f t="shared" si="0"/>
        <v>0</v>
      </c>
      <c r="S7" s="27">
        <f t="shared" si="0"/>
        <v>0</v>
      </c>
      <c r="T7" s="27">
        <f t="shared" si="0"/>
        <v>299</v>
      </c>
      <c r="U7" s="27">
        <f t="shared" si="0"/>
        <v>0</v>
      </c>
      <c r="V7" s="27">
        <f t="shared" si="0"/>
        <v>0</v>
      </c>
      <c r="W7" s="27">
        <f t="shared" si="0"/>
        <v>0</v>
      </c>
      <c r="X7" s="27">
        <f t="shared" si="0"/>
        <v>0</v>
      </c>
      <c r="Y7" s="27">
        <f t="shared" si="0"/>
        <v>0</v>
      </c>
      <c r="Z7" s="27">
        <f t="shared" si="0"/>
        <v>0</v>
      </c>
      <c r="AA7" s="27">
        <f t="shared" si="0"/>
        <v>0</v>
      </c>
      <c r="AB7" s="27">
        <f t="shared" si="0"/>
        <v>0</v>
      </c>
      <c r="AC7" s="27">
        <f t="shared" si="0"/>
        <v>0</v>
      </c>
      <c r="AD7" s="27">
        <f t="shared" si="0"/>
        <v>0</v>
      </c>
      <c r="AE7" s="27">
        <f t="shared" si="0"/>
        <v>981</v>
      </c>
      <c r="AF7" s="27">
        <f t="shared" si="0"/>
        <v>0</v>
      </c>
      <c r="AG7" s="27">
        <f t="shared" si="0"/>
        <v>0</v>
      </c>
      <c r="AH7" s="27">
        <f t="shared" si="0"/>
        <v>0</v>
      </c>
      <c r="AI7" s="27">
        <f t="shared" ref="AI7:BN7" si="1">SUM(AI3:AI6)</f>
        <v>0</v>
      </c>
      <c r="AJ7" s="27">
        <f t="shared" si="1"/>
        <v>0</v>
      </c>
      <c r="AK7" s="27">
        <f t="shared" si="1"/>
        <v>0</v>
      </c>
      <c r="AL7" s="27">
        <f t="shared" si="1"/>
        <v>0</v>
      </c>
      <c r="AM7" s="27">
        <f t="shared" si="1"/>
        <v>0</v>
      </c>
      <c r="AN7" s="27">
        <f t="shared" si="1"/>
        <v>0</v>
      </c>
      <c r="AO7" s="27">
        <f t="shared" si="1"/>
        <v>0</v>
      </c>
      <c r="AP7" s="27">
        <f t="shared" si="1"/>
        <v>0</v>
      </c>
      <c r="AQ7" s="27">
        <f t="shared" si="1"/>
        <v>0</v>
      </c>
      <c r="AR7" s="27">
        <f t="shared" si="1"/>
        <v>0</v>
      </c>
      <c r="AS7" s="27">
        <f t="shared" si="1"/>
        <v>0</v>
      </c>
      <c r="AT7" s="27">
        <f t="shared" si="1"/>
        <v>0</v>
      </c>
      <c r="AU7" s="27">
        <f t="shared" si="1"/>
        <v>0</v>
      </c>
      <c r="AV7" s="27">
        <f t="shared" si="1"/>
        <v>0</v>
      </c>
      <c r="AW7" s="27">
        <f t="shared" si="1"/>
        <v>0</v>
      </c>
      <c r="AX7" s="27">
        <f t="shared" si="1"/>
        <v>0</v>
      </c>
      <c r="AY7" s="27">
        <f t="shared" si="1"/>
        <v>0</v>
      </c>
      <c r="AZ7" s="27">
        <f t="shared" si="1"/>
        <v>0</v>
      </c>
      <c r="BA7" s="27">
        <f t="shared" si="1"/>
        <v>0</v>
      </c>
      <c r="BB7" s="27">
        <f t="shared" si="1"/>
        <v>0</v>
      </c>
      <c r="BC7" s="27"/>
      <c r="BD7" s="27"/>
      <c r="BE7" s="27"/>
      <c r="BF7" s="27"/>
      <c r="BG7" s="27"/>
      <c r="BH7" s="27"/>
      <c r="BI7" s="27"/>
      <c r="BJ7" s="27"/>
      <c r="BK7" s="27">
        <f t="shared" si="1"/>
        <v>9</v>
      </c>
      <c r="BL7" s="27">
        <f t="shared" si="1"/>
        <v>10</v>
      </c>
      <c r="BM7" s="27">
        <f t="shared" si="1"/>
        <v>0</v>
      </c>
      <c r="BN7" s="27">
        <f t="shared" si="1"/>
        <v>0</v>
      </c>
      <c r="BO7" s="27">
        <f t="shared" ref="BO7:BV7" si="2">SUM(BO3:BO6)</f>
        <v>6</v>
      </c>
      <c r="BP7" s="27">
        <f t="shared" si="2"/>
        <v>7</v>
      </c>
      <c r="BQ7" s="27">
        <f t="shared" si="2"/>
        <v>0</v>
      </c>
      <c r="BR7" s="27">
        <f t="shared" si="2"/>
        <v>0</v>
      </c>
      <c r="BS7" s="27">
        <f t="shared" si="2"/>
        <v>6</v>
      </c>
      <c r="BT7" s="27">
        <f t="shared" si="2"/>
        <v>6</v>
      </c>
      <c r="BU7" s="27">
        <f t="shared" si="2"/>
        <v>0</v>
      </c>
      <c r="BV7" s="27">
        <f t="shared" si="2"/>
        <v>0</v>
      </c>
    </row>
    <row r="8" spans="1:74" s="7" customFormat="1" ht="21" x14ac:dyDescent="0.35">
      <c r="A8" s="6"/>
      <c r="B8" s="8" t="s">
        <v>7</v>
      </c>
      <c r="C8" s="85">
        <f>SUM(C7+D7+E7+F7)</f>
        <v>578</v>
      </c>
      <c r="D8" s="9"/>
      <c r="E8" s="9"/>
      <c r="F8" s="9"/>
      <c r="G8" s="8">
        <f>SUM(G7+H7+I7+J7)</f>
        <v>0</v>
      </c>
      <c r="H8" s="9"/>
      <c r="I8" s="9"/>
      <c r="J8" s="9"/>
      <c r="K8" s="8">
        <f>SUM(K7+L7+M7+N7)</f>
        <v>506</v>
      </c>
      <c r="L8" s="9"/>
      <c r="M8" s="9"/>
      <c r="N8" s="9"/>
      <c r="O8" s="8">
        <f>SUM(O7+P7+Q7+R7)</f>
        <v>0</v>
      </c>
      <c r="P8" s="9"/>
      <c r="Q8" s="9"/>
      <c r="R8" s="9"/>
      <c r="S8" s="8">
        <f>SUM(S7+T7+U7+V7)</f>
        <v>299</v>
      </c>
      <c r="T8" s="9"/>
      <c r="U8" s="9"/>
      <c r="V8" s="9"/>
      <c r="W8" s="8">
        <f>SUM(W7+X7+Y7+Z7)</f>
        <v>0</v>
      </c>
      <c r="X8" s="9"/>
      <c r="Y8" s="9"/>
      <c r="Z8" s="9"/>
      <c r="AA8" s="8">
        <f>SUM(AA7+AB7+AC7+AD7)</f>
        <v>0</v>
      </c>
      <c r="AB8" s="9"/>
      <c r="AC8" s="9"/>
      <c r="AD8" s="9"/>
      <c r="AE8" s="8">
        <f>SUM(AE7:AH7)</f>
        <v>981</v>
      </c>
      <c r="AF8" s="9"/>
      <c r="AG8" s="9"/>
      <c r="AH8" s="9"/>
      <c r="AI8" s="8">
        <f>SUM(AI7+AJ7+AK7+AL7)</f>
        <v>0</v>
      </c>
      <c r="AJ8" s="9"/>
      <c r="AK8" s="9"/>
      <c r="AL8" s="9"/>
      <c r="AM8" s="8">
        <f>SUM(AM7+AN7+AO7+AP7)</f>
        <v>0</v>
      </c>
      <c r="AN8" s="9"/>
      <c r="AO8" s="9"/>
      <c r="AP8" s="9"/>
      <c r="AQ8" s="8">
        <f>SUM(AQ7+AR7+AS7+AT7)</f>
        <v>0</v>
      </c>
      <c r="AR8" s="9"/>
      <c r="AS8" s="9"/>
      <c r="AT8" s="9"/>
      <c r="AU8" s="8">
        <f>SUM(AU7:AX7)</f>
        <v>0</v>
      </c>
      <c r="AV8" s="9"/>
      <c r="AW8" s="9"/>
      <c r="AX8" s="9"/>
      <c r="AY8" s="8">
        <f>SUM(AY7:BB7)</f>
        <v>0</v>
      </c>
      <c r="AZ8" s="9"/>
      <c r="BA8" s="9"/>
      <c r="BB8" s="9"/>
      <c r="BC8" s="126">
        <v>1</v>
      </c>
      <c r="BD8" s="9"/>
      <c r="BE8" s="9"/>
      <c r="BF8" s="9"/>
      <c r="BG8" s="127">
        <v>1</v>
      </c>
      <c r="BH8" s="9"/>
      <c r="BI8" s="9"/>
      <c r="BJ8" s="9"/>
      <c r="BK8" s="8">
        <f>SUM(BK7:BN7)</f>
        <v>19</v>
      </c>
      <c r="BL8" s="9"/>
      <c r="BM8" s="9"/>
      <c r="BN8" s="9"/>
      <c r="BO8" s="8">
        <f>SUM(BO7:BR7)</f>
        <v>13</v>
      </c>
      <c r="BP8" s="9"/>
      <c r="BQ8" s="9"/>
      <c r="BR8" s="9"/>
      <c r="BS8" s="8">
        <f>SUM(BS7:BV7)</f>
        <v>12</v>
      </c>
      <c r="BT8" s="9"/>
      <c r="BU8" s="9"/>
      <c r="BV8" s="9"/>
    </row>
    <row r="9" spans="1:74" ht="21" x14ac:dyDescent="0.35">
      <c r="A9" s="7"/>
    </row>
  </sheetData>
  <mergeCells count="21">
    <mergeCell ref="AY1:BB1"/>
    <mergeCell ref="BG1:BJ1"/>
    <mergeCell ref="BK1:BN1"/>
    <mergeCell ref="BO1:BR1"/>
    <mergeCell ref="BC1:BF1"/>
    <mergeCell ref="BS1:BV1"/>
    <mergeCell ref="A3:A6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V7"/>
  <sheetViews>
    <sheetView topLeftCell="Z1" zoomScaleNormal="100" workbookViewId="0">
      <selection activeCell="AJ3" sqref="AJ3:AJ4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243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202</v>
      </c>
      <c r="B3" s="73" t="s">
        <v>90</v>
      </c>
      <c r="C3" s="43"/>
      <c r="D3" s="87">
        <v>125</v>
      </c>
      <c r="E3" s="43"/>
      <c r="F3" s="44"/>
      <c r="G3" s="43"/>
      <c r="H3" s="46"/>
      <c r="I3" s="45"/>
      <c r="J3" s="46"/>
      <c r="K3" s="43"/>
      <c r="L3" s="87">
        <v>100</v>
      </c>
      <c r="M3" s="43"/>
      <c r="N3" s="44"/>
      <c r="O3" s="43"/>
      <c r="P3" s="46"/>
      <c r="Q3" s="45"/>
      <c r="R3" s="46"/>
      <c r="S3" s="43"/>
      <c r="T3" s="119">
        <v>51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100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5">
        <v>1</v>
      </c>
      <c r="BE3" s="47"/>
      <c r="BF3" s="46"/>
      <c r="BG3" s="43"/>
      <c r="BH3" s="115">
        <v>1</v>
      </c>
      <c r="BI3" s="47"/>
      <c r="BJ3" s="77"/>
      <c r="BK3" s="86">
        <v>1</v>
      </c>
      <c r="BL3" s="87">
        <v>1</v>
      </c>
      <c r="BM3" s="45"/>
      <c r="BN3" s="80"/>
      <c r="BO3" s="86">
        <v>1</v>
      </c>
      <c r="BP3" s="87">
        <v>1</v>
      </c>
      <c r="BQ3" s="43"/>
      <c r="BR3" s="77"/>
      <c r="BS3" s="86">
        <v>1</v>
      </c>
      <c r="BT3" s="116">
        <v>1</v>
      </c>
      <c r="BU3" s="45"/>
      <c r="BV3" s="80"/>
    </row>
    <row r="4" spans="1:74" s="1" customFormat="1" ht="18.75" x14ac:dyDescent="0.25">
      <c r="A4" s="165"/>
      <c r="B4" s="73" t="s">
        <v>210</v>
      </c>
      <c r="C4" s="43"/>
      <c r="D4" s="87">
        <v>156</v>
      </c>
      <c r="E4" s="43"/>
      <c r="F4" s="44"/>
      <c r="G4" s="43"/>
      <c r="H4" s="46"/>
      <c r="I4" s="45"/>
      <c r="J4" s="46"/>
      <c r="K4" s="43"/>
      <c r="L4" s="87">
        <v>118</v>
      </c>
      <c r="M4" s="43"/>
      <c r="N4" s="44"/>
      <c r="O4" s="43"/>
      <c r="P4" s="46"/>
      <c r="Q4" s="45"/>
      <c r="R4" s="46"/>
      <c r="S4" s="43"/>
      <c r="T4" s="119">
        <v>117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127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5">
        <v>1</v>
      </c>
      <c r="BE4" s="47"/>
      <c r="BF4" s="46"/>
      <c r="BG4" s="43"/>
      <c r="BH4" s="115">
        <v>1</v>
      </c>
      <c r="BI4" s="47"/>
      <c r="BJ4" s="77"/>
      <c r="BK4" s="86">
        <v>1</v>
      </c>
      <c r="BL4" s="87">
        <v>1</v>
      </c>
      <c r="BM4" s="45"/>
      <c r="BN4" s="80"/>
      <c r="BO4" s="86">
        <v>1</v>
      </c>
      <c r="BP4" s="87">
        <v>2</v>
      </c>
      <c r="BQ4" s="43"/>
      <c r="BR4" s="77"/>
      <c r="BS4" s="86">
        <v>1</v>
      </c>
      <c r="BT4" s="169">
        <v>0</v>
      </c>
      <c r="BU4" s="45"/>
      <c r="BV4" s="80"/>
    </row>
    <row r="5" spans="1:74" s="6" customFormat="1" ht="19.5" x14ac:dyDescent="0.3">
      <c r="A5" s="84"/>
      <c r="B5" s="28"/>
      <c r="C5" s="83">
        <v>0</v>
      </c>
      <c r="D5" s="27">
        <v>0</v>
      </c>
      <c r="E5" s="27">
        <f t="shared" ref="E5:AH5" si="0">SUM(E3:E4)</f>
        <v>0</v>
      </c>
      <c r="F5" s="27">
        <f t="shared" si="0"/>
        <v>0</v>
      </c>
      <c r="G5" s="27">
        <v>0</v>
      </c>
      <c r="H5" s="27">
        <v>0</v>
      </c>
      <c r="I5" s="27">
        <v>0</v>
      </c>
      <c r="J5" s="27">
        <v>0</v>
      </c>
      <c r="K5" s="27">
        <f t="shared" si="0"/>
        <v>0</v>
      </c>
      <c r="L5" s="27">
        <f t="shared" si="0"/>
        <v>218</v>
      </c>
      <c r="M5" s="27">
        <f t="shared" si="0"/>
        <v>0</v>
      </c>
      <c r="N5" s="27">
        <f t="shared" si="0"/>
        <v>0</v>
      </c>
      <c r="O5" s="27">
        <f t="shared" si="0"/>
        <v>0</v>
      </c>
      <c r="P5" s="27">
        <f t="shared" si="0"/>
        <v>0</v>
      </c>
      <c r="Q5" s="27">
        <f t="shared" si="0"/>
        <v>0</v>
      </c>
      <c r="R5" s="27">
        <f t="shared" si="0"/>
        <v>0</v>
      </c>
      <c r="S5" s="27">
        <f t="shared" si="0"/>
        <v>0</v>
      </c>
      <c r="T5" s="27">
        <f t="shared" si="0"/>
        <v>168</v>
      </c>
      <c r="U5" s="27">
        <f t="shared" si="0"/>
        <v>0</v>
      </c>
      <c r="V5" s="27">
        <f t="shared" si="0"/>
        <v>0</v>
      </c>
      <c r="W5" s="27">
        <f t="shared" si="0"/>
        <v>0</v>
      </c>
      <c r="X5" s="27">
        <f t="shared" si="0"/>
        <v>0</v>
      </c>
      <c r="Y5" s="27">
        <f t="shared" si="0"/>
        <v>0</v>
      </c>
      <c r="Z5" s="27">
        <f t="shared" si="0"/>
        <v>0</v>
      </c>
      <c r="AA5" s="27">
        <f t="shared" si="0"/>
        <v>0</v>
      </c>
      <c r="AB5" s="27">
        <f t="shared" si="0"/>
        <v>0</v>
      </c>
      <c r="AC5" s="27">
        <f t="shared" si="0"/>
        <v>0</v>
      </c>
      <c r="AD5" s="27">
        <f t="shared" si="0"/>
        <v>0</v>
      </c>
      <c r="AE5" s="27">
        <f t="shared" si="0"/>
        <v>227</v>
      </c>
      <c r="AF5" s="27">
        <f t="shared" si="0"/>
        <v>0</v>
      </c>
      <c r="AG5" s="27">
        <f t="shared" si="0"/>
        <v>0</v>
      </c>
      <c r="AH5" s="27">
        <f t="shared" si="0"/>
        <v>0</v>
      </c>
      <c r="AI5" s="27">
        <f t="shared" ref="AI5:BN5" si="1">SUM(AI3:AI4)</f>
        <v>0</v>
      </c>
      <c r="AJ5" s="27">
        <f t="shared" si="1"/>
        <v>0</v>
      </c>
      <c r="AK5" s="27">
        <f t="shared" si="1"/>
        <v>0</v>
      </c>
      <c r="AL5" s="27">
        <f t="shared" si="1"/>
        <v>0</v>
      </c>
      <c r="AM5" s="27">
        <f t="shared" si="1"/>
        <v>0</v>
      </c>
      <c r="AN5" s="27">
        <f t="shared" si="1"/>
        <v>0</v>
      </c>
      <c r="AO5" s="27">
        <f t="shared" si="1"/>
        <v>0</v>
      </c>
      <c r="AP5" s="27">
        <f t="shared" si="1"/>
        <v>0</v>
      </c>
      <c r="AQ5" s="27">
        <f t="shared" si="1"/>
        <v>0</v>
      </c>
      <c r="AR5" s="27">
        <f t="shared" si="1"/>
        <v>0</v>
      </c>
      <c r="AS5" s="27">
        <f t="shared" si="1"/>
        <v>0</v>
      </c>
      <c r="AT5" s="27">
        <f t="shared" si="1"/>
        <v>0</v>
      </c>
      <c r="AU5" s="27">
        <f t="shared" si="1"/>
        <v>0</v>
      </c>
      <c r="AV5" s="27">
        <f t="shared" si="1"/>
        <v>0</v>
      </c>
      <c r="AW5" s="27">
        <f t="shared" si="1"/>
        <v>0</v>
      </c>
      <c r="AX5" s="27">
        <f t="shared" si="1"/>
        <v>0</v>
      </c>
      <c r="AY5" s="27">
        <f t="shared" si="1"/>
        <v>0</v>
      </c>
      <c r="AZ5" s="27">
        <f t="shared" si="1"/>
        <v>0</v>
      </c>
      <c r="BA5" s="27">
        <f t="shared" si="1"/>
        <v>0</v>
      </c>
      <c r="BB5" s="27">
        <f t="shared" si="1"/>
        <v>0</v>
      </c>
      <c r="BC5" s="27"/>
      <c r="BD5" s="27"/>
      <c r="BE5" s="27"/>
      <c r="BF5" s="27"/>
      <c r="BG5" s="27"/>
      <c r="BH5" s="27"/>
      <c r="BI5" s="27"/>
      <c r="BJ5" s="27"/>
      <c r="BK5" s="27">
        <f t="shared" si="1"/>
        <v>2</v>
      </c>
      <c r="BL5" s="27">
        <f t="shared" si="1"/>
        <v>2</v>
      </c>
      <c r="BM5" s="27">
        <f t="shared" si="1"/>
        <v>0</v>
      </c>
      <c r="BN5" s="27">
        <f t="shared" si="1"/>
        <v>0</v>
      </c>
      <c r="BO5" s="27">
        <f t="shared" ref="BO5:BV5" si="2">SUM(BO3:BO4)</f>
        <v>2</v>
      </c>
      <c r="BP5" s="27">
        <f t="shared" si="2"/>
        <v>3</v>
      </c>
      <c r="BQ5" s="27">
        <f t="shared" si="2"/>
        <v>0</v>
      </c>
      <c r="BR5" s="27">
        <f t="shared" si="2"/>
        <v>0</v>
      </c>
      <c r="BS5" s="27">
        <f t="shared" si="2"/>
        <v>2</v>
      </c>
      <c r="BT5" s="27">
        <f t="shared" si="2"/>
        <v>1</v>
      </c>
      <c r="BU5" s="27">
        <f t="shared" si="2"/>
        <v>0</v>
      </c>
      <c r="BV5" s="27">
        <f t="shared" si="2"/>
        <v>0</v>
      </c>
    </row>
    <row r="6" spans="1:74" s="7" customFormat="1" ht="21" x14ac:dyDescent="0.35">
      <c r="A6" s="6"/>
      <c r="B6" s="8" t="s">
        <v>7</v>
      </c>
      <c r="C6" s="85">
        <f>SUM(C5+D5+E5+F5)</f>
        <v>0</v>
      </c>
      <c r="D6" s="9"/>
      <c r="E6" s="9"/>
      <c r="F6" s="9"/>
      <c r="G6" s="8">
        <f>SUM(G5+H5+I5+J5)</f>
        <v>0</v>
      </c>
      <c r="H6" s="9"/>
      <c r="I6" s="9"/>
      <c r="J6" s="9"/>
      <c r="K6" s="8">
        <f>SUM(K5+L5+M5+N5)</f>
        <v>218</v>
      </c>
      <c r="L6" s="9"/>
      <c r="M6" s="9"/>
      <c r="N6" s="9"/>
      <c r="O6" s="8">
        <f>SUM(O5+P5+Q5+R5)</f>
        <v>0</v>
      </c>
      <c r="P6" s="9"/>
      <c r="Q6" s="9"/>
      <c r="R6" s="9"/>
      <c r="S6" s="8">
        <f>SUM(S5+T5+U5+V5)</f>
        <v>168</v>
      </c>
      <c r="T6" s="9"/>
      <c r="U6" s="9"/>
      <c r="V6" s="9"/>
      <c r="W6" s="8">
        <f>SUM(W5+X5+Y5+Z5)</f>
        <v>0</v>
      </c>
      <c r="X6" s="9"/>
      <c r="Y6" s="9"/>
      <c r="Z6" s="9"/>
      <c r="AA6" s="8">
        <f>SUM(AA5+AB5+AC5+AD5)</f>
        <v>0</v>
      </c>
      <c r="AB6" s="9"/>
      <c r="AC6" s="9"/>
      <c r="AD6" s="9"/>
      <c r="AE6" s="8">
        <f>SUM(AE5:AH5)</f>
        <v>227</v>
      </c>
      <c r="AF6" s="9"/>
      <c r="AG6" s="9"/>
      <c r="AH6" s="9"/>
      <c r="AI6" s="8">
        <f>SUM(AI5+AJ5+AK5+AL5)</f>
        <v>0</v>
      </c>
      <c r="AJ6" s="9"/>
      <c r="AK6" s="9"/>
      <c r="AL6" s="9"/>
      <c r="AM6" s="8">
        <f>SUM(AM5+AN5+AO5+AP5)</f>
        <v>0</v>
      </c>
      <c r="AN6" s="9"/>
      <c r="AO6" s="9"/>
      <c r="AP6" s="9"/>
      <c r="AQ6" s="8">
        <f>SUM(AQ5+AR5+AS5+AT5)</f>
        <v>0</v>
      </c>
      <c r="AR6" s="9"/>
      <c r="AS6" s="9"/>
      <c r="AT6" s="9"/>
      <c r="AU6" s="8">
        <f>SUM(AU5:AX5)</f>
        <v>0</v>
      </c>
      <c r="AV6" s="9"/>
      <c r="AW6" s="9"/>
      <c r="AX6" s="9"/>
      <c r="AY6" s="8">
        <f>SUM(AY5:BB5)</f>
        <v>0</v>
      </c>
      <c r="AZ6" s="9"/>
      <c r="BA6" s="9"/>
      <c r="BB6" s="9"/>
      <c r="BC6" s="127">
        <v>1</v>
      </c>
      <c r="BD6" s="9"/>
      <c r="BE6" s="9"/>
      <c r="BF6" s="9"/>
      <c r="BG6" s="127">
        <v>1</v>
      </c>
      <c r="BH6" s="9"/>
      <c r="BI6" s="9"/>
      <c r="BJ6" s="9"/>
      <c r="BK6" s="8">
        <f>SUM(BK5:BN5)</f>
        <v>4</v>
      </c>
      <c r="BL6" s="9"/>
      <c r="BM6" s="9"/>
      <c r="BN6" s="9"/>
      <c r="BO6" s="8">
        <f>SUM(BO5:BR5)</f>
        <v>5</v>
      </c>
      <c r="BP6" s="9"/>
      <c r="BQ6" s="9"/>
      <c r="BR6" s="9"/>
      <c r="BS6" s="8">
        <f>SUM(BS5:BV5)</f>
        <v>3</v>
      </c>
      <c r="BT6" s="9"/>
      <c r="BU6" s="9"/>
      <c r="BV6" s="9"/>
    </row>
    <row r="7" spans="1:74" ht="21" x14ac:dyDescent="0.35">
      <c r="A7" s="7"/>
    </row>
  </sheetData>
  <mergeCells count="21">
    <mergeCell ref="AY1:BB1"/>
    <mergeCell ref="BG1:BJ1"/>
    <mergeCell ref="BK1:BN1"/>
    <mergeCell ref="BO1:BR1"/>
    <mergeCell ref="BC1:BF1"/>
    <mergeCell ref="BS1:BV1"/>
    <mergeCell ref="A3:A4"/>
    <mergeCell ref="AQ1:AT1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AU1:AX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9"/>
  <sheetViews>
    <sheetView topLeftCell="BH1" workbookViewId="0">
      <selection activeCell="BT6" sqref="BT6"/>
    </sheetView>
  </sheetViews>
  <sheetFormatPr baseColWidth="10" defaultColWidth="23.140625" defaultRowHeight="15" x14ac:dyDescent="0.25"/>
  <cols>
    <col min="1" max="1" width="23.140625" style="5"/>
    <col min="2" max="2" width="27.7109375" style="5" customWidth="1"/>
    <col min="3" max="70" width="18.7109375" customWidth="1"/>
    <col min="71" max="16384" width="23.140625" style="5"/>
  </cols>
  <sheetData>
    <row r="1" spans="1:74" s="66" customFormat="1" ht="115.5" customHeight="1" x14ac:dyDescent="0.25">
      <c r="A1" s="151" t="s">
        <v>0</v>
      </c>
      <c r="B1" s="151" t="s">
        <v>1</v>
      </c>
      <c r="C1" s="153" t="s">
        <v>240</v>
      </c>
      <c r="D1" s="154"/>
      <c r="E1" s="154"/>
      <c r="F1" s="155"/>
      <c r="G1" s="139" t="s">
        <v>101</v>
      </c>
      <c r="H1" s="140"/>
      <c r="I1" s="140"/>
      <c r="J1" s="141"/>
      <c r="K1" s="136" t="s">
        <v>243</v>
      </c>
      <c r="L1" s="137"/>
      <c r="M1" s="137"/>
      <c r="N1" s="138"/>
      <c r="O1" s="139" t="s">
        <v>102</v>
      </c>
      <c r="P1" s="140"/>
      <c r="Q1" s="140"/>
      <c r="R1" s="141"/>
      <c r="S1" s="136" t="s">
        <v>103</v>
      </c>
      <c r="T1" s="137"/>
      <c r="U1" s="137"/>
      <c r="V1" s="138"/>
      <c r="W1" s="139" t="s">
        <v>104</v>
      </c>
      <c r="X1" s="140"/>
      <c r="Y1" s="140"/>
      <c r="Z1" s="141"/>
      <c r="AA1" s="142" t="s">
        <v>105</v>
      </c>
      <c r="AB1" s="143"/>
      <c r="AC1" s="143"/>
      <c r="AD1" s="144"/>
      <c r="AE1" s="145" t="s">
        <v>56</v>
      </c>
      <c r="AF1" s="146"/>
      <c r="AG1" s="146"/>
      <c r="AH1" s="147"/>
      <c r="AI1" s="130" t="s">
        <v>58</v>
      </c>
      <c r="AJ1" s="131"/>
      <c r="AK1" s="131"/>
      <c r="AL1" s="132"/>
      <c r="AM1" s="148" t="s">
        <v>57</v>
      </c>
      <c r="AN1" s="149"/>
      <c r="AO1" s="149"/>
      <c r="AP1" s="150"/>
      <c r="AQ1" s="130" t="s">
        <v>59</v>
      </c>
      <c r="AR1" s="131"/>
      <c r="AS1" s="131"/>
      <c r="AT1" s="132"/>
      <c r="AU1" s="148" t="s">
        <v>106</v>
      </c>
      <c r="AV1" s="149"/>
      <c r="AW1" s="149"/>
      <c r="AX1" s="150"/>
      <c r="AY1" s="130" t="s">
        <v>107</v>
      </c>
      <c r="AZ1" s="131"/>
      <c r="BA1" s="131"/>
      <c r="BB1" s="132"/>
      <c r="BC1" s="148" t="s">
        <v>139</v>
      </c>
      <c r="BD1" s="149"/>
      <c r="BE1" s="149"/>
      <c r="BF1" s="150"/>
      <c r="BG1" s="130" t="s">
        <v>140</v>
      </c>
      <c r="BH1" s="131"/>
      <c r="BI1" s="131"/>
      <c r="BJ1" s="132"/>
      <c r="BK1" s="156" t="s">
        <v>141</v>
      </c>
      <c r="BL1" s="157"/>
      <c r="BM1" s="157"/>
      <c r="BN1" s="158"/>
      <c r="BO1" s="156" t="s">
        <v>142</v>
      </c>
      <c r="BP1" s="157"/>
      <c r="BQ1" s="157"/>
      <c r="BR1" s="158"/>
      <c r="BS1" s="156" t="s">
        <v>143</v>
      </c>
      <c r="BT1" s="157"/>
      <c r="BU1" s="157"/>
      <c r="BV1" s="158"/>
    </row>
    <row r="2" spans="1:74" s="1" customFormat="1" ht="30" x14ac:dyDescent="0.25">
      <c r="A2" s="152"/>
      <c r="B2" s="152"/>
      <c r="C2" s="2" t="s">
        <v>2</v>
      </c>
      <c r="D2" s="2" t="s">
        <v>3</v>
      </c>
      <c r="E2" s="2" t="s">
        <v>4</v>
      </c>
      <c r="F2" s="2" t="s">
        <v>5</v>
      </c>
      <c r="G2" s="3" t="s">
        <v>2</v>
      </c>
      <c r="H2" s="3" t="s">
        <v>3</v>
      </c>
      <c r="I2" s="3" t="s">
        <v>4</v>
      </c>
      <c r="J2" s="3" t="s">
        <v>5</v>
      </c>
      <c r="K2" s="2" t="s">
        <v>2</v>
      </c>
      <c r="L2" s="2" t="s">
        <v>3</v>
      </c>
      <c r="M2" s="2" t="s">
        <v>4</v>
      </c>
      <c r="N2" s="2" t="s">
        <v>5</v>
      </c>
      <c r="O2" s="3" t="s">
        <v>2</v>
      </c>
      <c r="P2" s="3" t="s">
        <v>3</v>
      </c>
      <c r="Q2" s="3" t="s">
        <v>4</v>
      </c>
      <c r="R2" s="3" t="s">
        <v>5</v>
      </c>
      <c r="S2" s="2" t="s">
        <v>2</v>
      </c>
      <c r="T2" s="2" t="s">
        <v>3</v>
      </c>
      <c r="U2" s="2" t="s">
        <v>4</v>
      </c>
      <c r="V2" s="2" t="s">
        <v>5</v>
      </c>
      <c r="W2" s="3" t="s">
        <v>2</v>
      </c>
      <c r="X2" s="3" t="s">
        <v>3</v>
      </c>
      <c r="Y2" s="3" t="s">
        <v>4</v>
      </c>
      <c r="Z2" s="3" t="s">
        <v>5</v>
      </c>
      <c r="AA2" s="2" t="s">
        <v>2</v>
      </c>
      <c r="AB2" s="2" t="s">
        <v>3</v>
      </c>
      <c r="AC2" s="2" t="s">
        <v>4</v>
      </c>
      <c r="AD2" s="2" t="s">
        <v>5</v>
      </c>
      <c r="AE2" s="3" t="s">
        <v>2</v>
      </c>
      <c r="AF2" s="3" t="s">
        <v>3</v>
      </c>
      <c r="AG2" s="3" t="s">
        <v>4</v>
      </c>
      <c r="AH2" s="3" t="s">
        <v>5</v>
      </c>
      <c r="AI2" s="2" t="s">
        <v>2</v>
      </c>
      <c r="AJ2" s="2" t="s">
        <v>3</v>
      </c>
      <c r="AK2" s="2" t="s">
        <v>4</v>
      </c>
      <c r="AL2" s="2" t="s">
        <v>5</v>
      </c>
      <c r="AM2" s="3" t="s">
        <v>2</v>
      </c>
      <c r="AN2" s="3" t="s">
        <v>3</v>
      </c>
      <c r="AO2" s="3" t="s">
        <v>4</v>
      </c>
      <c r="AP2" s="3" t="s">
        <v>5</v>
      </c>
      <c r="AQ2" s="2" t="s">
        <v>2</v>
      </c>
      <c r="AR2" s="2" t="s">
        <v>3</v>
      </c>
      <c r="AS2" s="2" t="s">
        <v>4</v>
      </c>
      <c r="AT2" s="2" t="s">
        <v>5</v>
      </c>
      <c r="AU2" s="3" t="s">
        <v>2</v>
      </c>
      <c r="AV2" s="3" t="s">
        <v>3</v>
      </c>
      <c r="AW2" s="3" t="s">
        <v>4</v>
      </c>
      <c r="AX2" s="3" t="s">
        <v>5</v>
      </c>
      <c r="AY2" s="2" t="s">
        <v>2</v>
      </c>
      <c r="AZ2" s="2" t="s">
        <v>3</v>
      </c>
      <c r="BA2" s="2" t="s">
        <v>4</v>
      </c>
      <c r="BB2" s="2" t="s">
        <v>5</v>
      </c>
      <c r="BC2" s="3" t="s">
        <v>2</v>
      </c>
      <c r="BD2" s="3" t="s">
        <v>3</v>
      </c>
      <c r="BE2" s="3" t="s">
        <v>4</v>
      </c>
      <c r="BF2" s="3" t="s">
        <v>5</v>
      </c>
      <c r="BG2" s="3" t="s">
        <v>2</v>
      </c>
      <c r="BH2" s="3" t="s">
        <v>3</v>
      </c>
      <c r="BI2" s="3" t="s">
        <v>4</v>
      </c>
      <c r="BJ2" s="3" t="s">
        <v>5</v>
      </c>
      <c r="BK2" s="2" t="s">
        <v>2</v>
      </c>
      <c r="BL2" s="2" t="s">
        <v>3</v>
      </c>
      <c r="BM2" s="2" t="s">
        <v>4</v>
      </c>
      <c r="BN2" s="2" t="s">
        <v>5</v>
      </c>
      <c r="BO2" s="2" t="s">
        <v>2</v>
      </c>
      <c r="BP2" s="2" t="s">
        <v>3</v>
      </c>
      <c r="BQ2" s="2" t="s">
        <v>4</v>
      </c>
      <c r="BR2" s="2" t="s">
        <v>5</v>
      </c>
      <c r="BS2" s="2" t="s">
        <v>2</v>
      </c>
      <c r="BT2" s="2" t="s">
        <v>3</v>
      </c>
      <c r="BU2" s="2" t="s">
        <v>4</v>
      </c>
      <c r="BV2" s="2" t="s">
        <v>5</v>
      </c>
    </row>
    <row r="3" spans="1:74" s="1" customFormat="1" ht="18.75" x14ac:dyDescent="0.25">
      <c r="A3" s="165" t="s">
        <v>203</v>
      </c>
      <c r="B3" s="73" t="s">
        <v>204</v>
      </c>
      <c r="C3" s="43"/>
      <c r="D3" s="87">
        <v>125</v>
      </c>
      <c r="E3" s="43"/>
      <c r="F3" s="44"/>
      <c r="G3" s="43"/>
      <c r="H3" s="46"/>
      <c r="I3" s="45"/>
      <c r="J3" s="46"/>
      <c r="K3" s="43"/>
      <c r="L3" s="87">
        <v>109</v>
      </c>
      <c r="M3" s="43"/>
      <c r="N3" s="44"/>
      <c r="O3" s="43"/>
      <c r="P3" s="46"/>
      <c r="Q3" s="45"/>
      <c r="R3" s="46"/>
      <c r="S3" s="43"/>
      <c r="T3" s="87">
        <v>50</v>
      </c>
      <c r="U3" s="45"/>
      <c r="V3" s="44"/>
      <c r="W3" s="43"/>
      <c r="X3" s="46"/>
      <c r="Y3" s="43"/>
      <c r="Z3" s="46"/>
      <c r="AA3" s="43"/>
      <c r="AB3" s="44"/>
      <c r="AC3" s="45"/>
      <c r="AD3" s="44"/>
      <c r="AE3" s="87">
        <v>114</v>
      </c>
      <c r="AF3" s="46"/>
      <c r="AG3" s="47"/>
      <c r="AH3" s="46"/>
      <c r="AI3" s="43"/>
      <c r="AJ3" s="168">
        <v>0</v>
      </c>
      <c r="AK3" s="45"/>
      <c r="AL3" s="44"/>
      <c r="AM3" s="43"/>
      <c r="AN3" s="46"/>
      <c r="AO3" s="43"/>
      <c r="AP3" s="46"/>
      <c r="AQ3" s="43"/>
      <c r="AR3" s="44"/>
      <c r="AS3" s="45"/>
      <c r="AT3" s="77"/>
      <c r="AU3" s="43"/>
      <c r="AV3" s="46"/>
      <c r="AW3" s="47"/>
      <c r="AX3" s="46"/>
      <c r="AY3" s="43"/>
      <c r="AZ3" s="44"/>
      <c r="BA3" s="45"/>
      <c r="BB3" s="77"/>
      <c r="BC3" s="43"/>
      <c r="BD3" s="114">
        <v>1</v>
      </c>
      <c r="BE3" s="47"/>
      <c r="BF3" s="46"/>
      <c r="BG3" s="43"/>
      <c r="BH3" s="115">
        <v>1</v>
      </c>
      <c r="BI3" s="47"/>
      <c r="BJ3" s="77"/>
      <c r="BK3" s="86">
        <v>2</v>
      </c>
      <c r="BL3" s="87">
        <v>1</v>
      </c>
      <c r="BM3" s="45"/>
      <c r="BN3" s="80"/>
      <c r="BO3" s="43"/>
      <c r="BP3" s="87">
        <v>1</v>
      </c>
      <c r="BQ3" s="43"/>
      <c r="BR3" s="77"/>
      <c r="BS3" s="43"/>
      <c r="BT3" s="116">
        <v>1</v>
      </c>
      <c r="BU3" s="45"/>
      <c r="BV3" s="80"/>
    </row>
    <row r="4" spans="1:74" s="1" customFormat="1" ht="18.75" x14ac:dyDescent="0.25">
      <c r="A4" s="165"/>
      <c r="B4" s="73" t="s">
        <v>238</v>
      </c>
      <c r="C4" s="43"/>
      <c r="D4" s="87">
        <v>150</v>
      </c>
      <c r="E4" s="43"/>
      <c r="F4" s="44"/>
      <c r="G4" s="43"/>
      <c r="H4" s="46"/>
      <c r="I4" s="45"/>
      <c r="J4" s="46"/>
      <c r="K4" s="43"/>
      <c r="L4" s="87">
        <v>150</v>
      </c>
      <c r="M4" s="43"/>
      <c r="N4" s="44"/>
      <c r="O4" s="43"/>
      <c r="P4" s="46"/>
      <c r="Q4" s="45"/>
      <c r="R4" s="46"/>
      <c r="S4" s="43"/>
      <c r="T4" s="87">
        <v>75</v>
      </c>
      <c r="U4" s="45"/>
      <c r="V4" s="44"/>
      <c r="W4" s="43"/>
      <c r="X4" s="46"/>
      <c r="Y4" s="43"/>
      <c r="Z4" s="46"/>
      <c r="AA4" s="43"/>
      <c r="AB4" s="44"/>
      <c r="AC4" s="45"/>
      <c r="AD4" s="44"/>
      <c r="AE4" s="87">
        <v>194</v>
      </c>
      <c r="AF4" s="46"/>
      <c r="AG4" s="47"/>
      <c r="AH4" s="46"/>
      <c r="AI4" s="43"/>
      <c r="AJ4" s="168">
        <v>0</v>
      </c>
      <c r="AK4" s="45"/>
      <c r="AL4" s="44"/>
      <c r="AM4" s="43"/>
      <c r="AN4" s="46"/>
      <c r="AO4" s="43"/>
      <c r="AP4" s="46"/>
      <c r="AQ4" s="43"/>
      <c r="AR4" s="44"/>
      <c r="AS4" s="45"/>
      <c r="AT4" s="77"/>
      <c r="AU4" s="43"/>
      <c r="AV4" s="46"/>
      <c r="AW4" s="47"/>
      <c r="AX4" s="46"/>
      <c r="AY4" s="43"/>
      <c r="AZ4" s="44"/>
      <c r="BA4" s="45"/>
      <c r="BB4" s="77"/>
      <c r="BC4" s="43"/>
      <c r="BD4" s="114">
        <v>1</v>
      </c>
      <c r="BE4" s="47"/>
      <c r="BF4" s="46"/>
      <c r="BG4" s="43"/>
      <c r="BH4" s="115">
        <v>1</v>
      </c>
      <c r="BI4" s="47"/>
      <c r="BJ4" s="77"/>
      <c r="BK4" s="43"/>
      <c r="BL4" s="87">
        <v>1</v>
      </c>
      <c r="BM4" s="45"/>
      <c r="BN4" s="80"/>
      <c r="BO4" s="86">
        <v>2</v>
      </c>
      <c r="BP4" s="87">
        <v>2</v>
      </c>
      <c r="BQ4" s="43"/>
      <c r="BR4" s="77"/>
      <c r="BS4" s="43"/>
      <c r="BT4" s="169">
        <v>0</v>
      </c>
      <c r="BU4" s="45"/>
      <c r="BV4" s="80"/>
    </row>
    <row r="5" spans="1:74" s="1" customFormat="1" ht="18.75" x14ac:dyDescent="0.25">
      <c r="A5" s="165"/>
      <c r="B5" s="73" t="s">
        <v>211</v>
      </c>
      <c r="C5" s="43"/>
      <c r="D5" s="87">
        <v>125</v>
      </c>
      <c r="E5" s="43"/>
      <c r="F5" s="44"/>
      <c r="G5" s="43"/>
      <c r="H5" s="46"/>
      <c r="I5" s="45"/>
      <c r="J5" s="46"/>
      <c r="K5" s="43"/>
      <c r="L5" s="87">
        <v>105</v>
      </c>
      <c r="M5" s="43"/>
      <c r="N5" s="44"/>
      <c r="O5" s="43"/>
      <c r="P5" s="46"/>
      <c r="Q5" s="45"/>
      <c r="R5" s="46"/>
      <c r="S5" s="43"/>
      <c r="T5" s="87">
        <v>105</v>
      </c>
      <c r="U5" s="45"/>
      <c r="V5" s="44"/>
      <c r="W5" s="43"/>
      <c r="X5" s="46"/>
      <c r="Y5" s="43"/>
      <c r="Z5" s="46"/>
      <c r="AA5" s="43"/>
      <c r="AB5" s="44"/>
      <c r="AC5" s="45"/>
      <c r="AD5" s="44"/>
      <c r="AE5" s="87">
        <v>128</v>
      </c>
      <c r="AF5" s="46"/>
      <c r="AG5" s="47"/>
      <c r="AH5" s="46"/>
      <c r="AI5" s="43"/>
      <c r="AJ5" s="168">
        <v>0</v>
      </c>
      <c r="AK5" s="45"/>
      <c r="AL5" s="44"/>
      <c r="AM5" s="43"/>
      <c r="AN5" s="46"/>
      <c r="AO5" s="43"/>
      <c r="AP5" s="46"/>
      <c r="AQ5" s="43"/>
      <c r="AR5" s="44"/>
      <c r="AS5" s="45"/>
      <c r="AT5" s="77"/>
      <c r="AU5" s="43"/>
      <c r="AV5" s="46"/>
      <c r="AW5" s="47"/>
      <c r="AX5" s="46"/>
      <c r="AY5" s="43"/>
      <c r="AZ5" s="44"/>
      <c r="BA5" s="45"/>
      <c r="BB5" s="77"/>
      <c r="BC5" s="43"/>
      <c r="BD5" s="114">
        <v>1</v>
      </c>
      <c r="BE5" s="47"/>
      <c r="BF5" s="46"/>
      <c r="BG5" s="43"/>
      <c r="BH5" s="115">
        <v>1</v>
      </c>
      <c r="BI5" s="47"/>
      <c r="BJ5" s="77"/>
      <c r="BK5" s="86">
        <v>1</v>
      </c>
      <c r="BL5" s="87">
        <v>2</v>
      </c>
      <c r="BM5" s="45"/>
      <c r="BN5" s="80"/>
      <c r="BO5" s="86">
        <v>2</v>
      </c>
      <c r="BP5" s="87">
        <v>2</v>
      </c>
      <c r="BQ5" s="43"/>
      <c r="BR5" s="77"/>
      <c r="BS5" s="43"/>
      <c r="BT5" s="116">
        <v>1</v>
      </c>
      <c r="BU5" s="45"/>
      <c r="BV5" s="80"/>
    </row>
    <row r="6" spans="1:74" s="1" customFormat="1" ht="18.75" x14ac:dyDescent="0.25">
      <c r="A6" s="165"/>
      <c r="B6" s="73" t="s">
        <v>93</v>
      </c>
      <c r="C6" s="43"/>
      <c r="D6" s="168">
        <v>121</v>
      </c>
      <c r="E6" s="43"/>
      <c r="F6" s="44"/>
      <c r="G6" s="43"/>
      <c r="H6" s="46"/>
      <c r="I6" s="45"/>
      <c r="J6" s="46"/>
      <c r="K6" s="43"/>
      <c r="L6" s="87">
        <v>120</v>
      </c>
      <c r="M6" s="43"/>
      <c r="N6" s="44"/>
      <c r="O6" s="43"/>
      <c r="P6" s="46"/>
      <c r="Q6" s="45"/>
      <c r="R6" s="46"/>
      <c r="S6" s="43"/>
      <c r="T6" s="87">
        <v>50</v>
      </c>
      <c r="U6" s="45"/>
      <c r="V6" s="44"/>
      <c r="W6" s="43"/>
      <c r="X6" s="46"/>
      <c r="Y6" s="43"/>
      <c r="Z6" s="46"/>
      <c r="AA6" s="43"/>
      <c r="AB6" s="44"/>
      <c r="AC6" s="45"/>
      <c r="AD6" s="44"/>
      <c r="AE6" s="87">
        <v>374</v>
      </c>
      <c r="AF6" s="46"/>
      <c r="AG6" s="47"/>
      <c r="AH6" s="46"/>
      <c r="AI6" s="43"/>
      <c r="AJ6" s="168">
        <v>0</v>
      </c>
      <c r="AK6" s="45"/>
      <c r="AL6" s="44"/>
      <c r="AM6" s="43"/>
      <c r="AN6" s="46"/>
      <c r="AO6" s="43"/>
      <c r="AP6" s="46"/>
      <c r="AQ6" s="43"/>
      <c r="AR6" s="44"/>
      <c r="AS6" s="45"/>
      <c r="AT6" s="77"/>
      <c r="AU6" s="43"/>
      <c r="AV6" s="46"/>
      <c r="AW6" s="47"/>
      <c r="AX6" s="46"/>
      <c r="AY6" s="43"/>
      <c r="AZ6" s="44"/>
      <c r="BA6" s="45"/>
      <c r="BB6" s="77"/>
      <c r="BC6" s="43"/>
      <c r="BD6" s="114">
        <v>1</v>
      </c>
      <c r="BE6" s="47"/>
      <c r="BF6" s="46"/>
      <c r="BG6" s="43"/>
      <c r="BH6" s="115">
        <v>1</v>
      </c>
      <c r="BI6" s="47"/>
      <c r="BJ6" s="77"/>
      <c r="BK6" s="43"/>
      <c r="BL6" s="168">
        <v>0</v>
      </c>
      <c r="BM6" s="45"/>
      <c r="BN6" s="80"/>
      <c r="BO6" s="43"/>
      <c r="BP6" s="168">
        <v>0</v>
      </c>
      <c r="BQ6" s="43"/>
      <c r="BR6" s="77"/>
      <c r="BS6" s="43"/>
      <c r="BT6" s="169">
        <v>0</v>
      </c>
      <c r="BU6" s="45"/>
      <c r="BV6" s="80"/>
    </row>
    <row r="7" spans="1:74" s="6" customFormat="1" ht="19.5" x14ac:dyDescent="0.3">
      <c r="A7" s="84"/>
      <c r="B7" s="28"/>
      <c r="C7" s="83">
        <f t="shared" ref="C7:AH7" si="0">SUM(C3:C6)</f>
        <v>0</v>
      </c>
      <c r="D7" s="27">
        <f t="shared" si="0"/>
        <v>521</v>
      </c>
      <c r="E7" s="27">
        <f t="shared" si="0"/>
        <v>0</v>
      </c>
      <c r="F7" s="27">
        <v>0</v>
      </c>
      <c r="G7" s="27">
        <v>0</v>
      </c>
      <c r="H7" s="27">
        <f t="shared" si="0"/>
        <v>0</v>
      </c>
      <c r="I7" s="27">
        <v>0</v>
      </c>
      <c r="J7" s="27">
        <v>0</v>
      </c>
      <c r="K7" s="27">
        <f t="shared" si="0"/>
        <v>0</v>
      </c>
      <c r="L7" s="27">
        <f t="shared" si="0"/>
        <v>484</v>
      </c>
      <c r="M7" s="27">
        <f t="shared" si="0"/>
        <v>0</v>
      </c>
      <c r="N7" s="27">
        <f t="shared" si="0"/>
        <v>0</v>
      </c>
      <c r="O7" s="27">
        <f t="shared" si="0"/>
        <v>0</v>
      </c>
      <c r="P7" s="27">
        <f t="shared" si="0"/>
        <v>0</v>
      </c>
      <c r="Q7" s="27">
        <f t="shared" si="0"/>
        <v>0</v>
      </c>
      <c r="R7" s="27">
        <f t="shared" si="0"/>
        <v>0</v>
      </c>
      <c r="S7" s="27">
        <f t="shared" si="0"/>
        <v>0</v>
      </c>
      <c r="T7" s="27">
        <f t="shared" si="0"/>
        <v>280</v>
      </c>
      <c r="U7" s="27">
        <f t="shared" si="0"/>
        <v>0</v>
      </c>
      <c r="V7" s="27">
        <f t="shared" si="0"/>
        <v>0</v>
      </c>
      <c r="W7" s="27">
        <f t="shared" si="0"/>
        <v>0</v>
      </c>
      <c r="X7" s="27">
        <f t="shared" si="0"/>
        <v>0</v>
      </c>
      <c r="Y7" s="27">
        <f t="shared" si="0"/>
        <v>0</v>
      </c>
      <c r="Z7" s="27">
        <f t="shared" si="0"/>
        <v>0</v>
      </c>
      <c r="AA7" s="27">
        <f t="shared" si="0"/>
        <v>0</v>
      </c>
      <c r="AB7" s="27">
        <f t="shared" si="0"/>
        <v>0</v>
      </c>
      <c r="AC7" s="27">
        <f t="shared" si="0"/>
        <v>0</v>
      </c>
      <c r="AD7" s="27">
        <f t="shared" si="0"/>
        <v>0</v>
      </c>
      <c r="AE7" s="27">
        <f t="shared" si="0"/>
        <v>810</v>
      </c>
      <c r="AF7" s="27">
        <f t="shared" si="0"/>
        <v>0</v>
      </c>
      <c r="AG7" s="27">
        <f t="shared" si="0"/>
        <v>0</v>
      </c>
      <c r="AH7" s="27">
        <f t="shared" si="0"/>
        <v>0</v>
      </c>
      <c r="AI7" s="27">
        <f t="shared" ref="AI7:BN7" si="1">SUM(AI3:AI6)</f>
        <v>0</v>
      </c>
      <c r="AJ7" s="27">
        <f t="shared" si="1"/>
        <v>0</v>
      </c>
      <c r="AK7" s="27">
        <f t="shared" si="1"/>
        <v>0</v>
      </c>
      <c r="AL7" s="27">
        <f t="shared" si="1"/>
        <v>0</v>
      </c>
      <c r="AM7" s="27">
        <f t="shared" si="1"/>
        <v>0</v>
      </c>
      <c r="AN7" s="27">
        <f t="shared" si="1"/>
        <v>0</v>
      </c>
      <c r="AO7" s="27">
        <f t="shared" si="1"/>
        <v>0</v>
      </c>
      <c r="AP7" s="27">
        <f t="shared" si="1"/>
        <v>0</v>
      </c>
      <c r="AQ7" s="27">
        <f t="shared" si="1"/>
        <v>0</v>
      </c>
      <c r="AR7" s="27">
        <f t="shared" si="1"/>
        <v>0</v>
      </c>
      <c r="AS7" s="27">
        <f t="shared" si="1"/>
        <v>0</v>
      </c>
      <c r="AT7" s="27">
        <f t="shared" si="1"/>
        <v>0</v>
      </c>
      <c r="AU7" s="27">
        <f t="shared" si="1"/>
        <v>0</v>
      </c>
      <c r="AV7" s="27">
        <f t="shared" si="1"/>
        <v>0</v>
      </c>
      <c r="AW7" s="27">
        <f t="shared" si="1"/>
        <v>0</v>
      </c>
      <c r="AX7" s="27">
        <f t="shared" si="1"/>
        <v>0</v>
      </c>
      <c r="AY7" s="27">
        <f t="shared" si="1"/>
        <v>0</v>
      </c>
      <c r="AZ7" s="27">
        <f t="shared" si="1"/>
        <v>0</v>
      </c>
      <c r="BA7" s="27">
        <f t="shared" si="1"/>
        <v>0</v>
      </c>
      <c r="BB7" s="27">
        <f t="shared" si="1"/>
        <v>0</v>
      </c>
      <c r="BC7" s="27"/>
      <c r="BD7" s="27"/>
      <c r="BE7" s="27"/>
      <c r="BF7" s="27"/>
      <c r="BG7" s="27"/>
      <c r="BH7" s="27"/>
      <c r="BI7" s="27"/>
      <c r="BJ7" s="27"/>
      <c r="BK7" s="27">
        <f t="shared" si="1"/>
        <v>3</v>
      </c>
      <c r="BL7" s="27">
        <f t="shared" si="1"/>
        <v>4</v>
      </c>
      <c r="BM7" s="27">
        <f t="shared" si="1"/>
        <v>0</v>
      </c>
      <c r="BN7" s="27">
        <f t="shared" si="1"/>
        <v>0</v>
      </c>
      <c r="BO7" s="27">
        <f t="shared" ref="BO7:BV7" si="2">SUM(BO3:BO6)</f>
        <v>4</v>
      </c>
      <c r="BP7" s="27">
        <f t="shared" si="2"/>
        <v>5</v>
      </c>
      <c r="BQ7" s="27">
        <f t="shared" si="2"/>
        <v>0</v>
      </c>
      <c r="BR7" s="27">
        <f t="shared" si="2"/>
        <v>0</v>
      </c>
      <c r="BS7" s="27">
        <f t="shared" si="2"/>
        <v>0</v>
      </c>
      <c r="BT7" s="27">
        <f t="shared" si="2"/>
        <v>2</v>
      </c>
      <c r="BU7" s="27">
        <f t="shared" si="2"/>
        <v>0</v>
      </c>
      <c r="BV7" s="27">
        <f t="shared" si="2"/>
        <v>0</v>
      </c>
    </row>
    <row r="8" spans="1:74" s="7" customFormat="1" ht="21" x14ac:dyDescent="0.35">
      <c r="A8" s="6"/>
      <c r="B8" s="8" t="s">
        <v>7</v>
      </c>
      <c r="C8" s="85">
        <f>SUM(C7+D7+E7+F7)</f>
        <v>521</v>
      </c>
      <c r="D8" s="9"/>
      <c r="E8" s="9"/>
      <c r="F8" s="9"/>
      <c r="G8" s="8">
        <f>SUM(G7+H7+I7+J7)</f>
        <v>0</v>
      </c>
      <c r="H8" s="9"/>
      <c r="I8" s="9"/>
      <c r="J8" s="9"/>
      <c r="K8" s="8">
        <f>SUM(K7+L7+M7+N7)</f>
        <v>484</v>
      </c>
      <c r="L8" s="9"/>
      <c r="M8" s="9"/>
      <c r="N8" s="9"/>
      <c r="O8" s="8">
        <f>SUM(O7+P7+Q7+R7)</f>
        <v>0</v>
      </c>
      <c r="P8" s="9"/>
      <c r="Q8" s="9"/>
      <c r="R8" s="9"/>
      <c r="S8" s="8">
        <f>SUM(S7+T7+U7+V7)</f>
        <v>280</v>
      </c>
      <c r="T8" s="9"/>
      <c r="U8" s="9"/>
      <c r="V8" s="9"/>
      <c r="W8" s="8">
        <f>SUM(W7+X7+Y7+Z7)</f>
        <v>0</v>
      </c>
      <c r="X8" s="9"/>
      <c r="Y8" s="9"/>
      <c r="Z8" s="9"/>
      <c r="AA8" s="8">
        <f>SUM(AA7+AB7+AC7+AD7)</f>
        <v>0</v>
      </c>
      <c r="AB8" s="9"/>
      <c r="AC8" s="9"/>
      <c r="AD8" s="9"/>
      <c r="AE8" s="8">
        <f>SUM(AE7:AH7)</f>
        <v>810</v>
      </c>
      <c r="AF8" s="9"/>
      <c r="AG8" s="9"/>
      <c r="AH8" s="9"/>
      <c r="AI8" s="8">
        <f>SUM(AI7+AJ7+AK7+AL7)</f>
        <v>0</v>
      </c>
      <c r="AJ8" s="9"/>
      <c r="AK8" s="9"/>
      <c r="AL8" s="9"/>
      <c r="AM8" s="8">
        <f>SUM(AM7+AN7+AO7+AP7)</f>
        <v>0</v>
      </c>
      <c r="AN8" s="9"/>
      <c r="AO8" s="9"/>
      <c r="AP8" s="9"/>
      <c r="AQ8" s="8">
        <f>SUM(AQ7+AR7+AS7+AT7)</f>
        <v>0</v>
      </c>
      <c r="AR8" s="9"/>
      <c r="AS8" s="9"/>
      <c r="AT8" s="9"/>
      <c r="AU8" s="8">
        <f>SUM(AU7:AX7)</f>
        <v>0</v>
      </c>
      <c r="AV8" s="9"/>
      <c r="AW8" s="9"/>
      <c r="AX8" s="9"/>
      <c r="AY8" s="8">
        <f>SUM(AY7:BB7)</f>
        <v>0</v>
      </c>
      <c r="AZ8" s="9"/>
      <c r="BA8" s="9"/>
      <c r="BB8" s="9"/>
      <c r="BC8" s="126">
        <v>1</v>
      </c>
      <c r="BD8" s="9"/>
      <c r="BE8" s="9"/>
      <c r="BF8" s="9"/>
      <c r="BG8" s="127">
        <v>1</v>
      </c>
      <c r="BH8" s="9"/>
      <c r="BI8" s="9"/>
      <c r="BJ8" s="9"/>
      <c r="BK8" s="8">
        <f>SUM(BK7:BN7)</f>
        <v>7</v>
      </c>
      <c r="BL8" s="9"/>
      <c r="BM8" s="9"/>
      <c r="BN8" s="9"/>
      <c r="BO8" s="8">
        <f>SUM(BO7:BR7)</f>
        <v>9</v>
      </c>
      <c r="BP8" s="9"/>
      <c r="BQ8" s="9"/>
      <c r="BR8" s="9"/>
      <c r="BS8" s="8">
        <f>SUM(BS7:BV7)</f>
        <v>2</v>
      </c>
      <c r="BT8" s="9"/>
      <c r="BU8" s="9"/>
      <c r="BV8" s="9"/>
    </row>
    <row r="9" spans="1:74" ht="21" x14ac:dyDescent="0.35">
      <c r="A9" s="7"/>
    </row>
  </sheetData>
  <mergeCells count="21">
    <mergeCell ref="AQ1:AT1"/>
    <mergeCell ref="A3:A6"/>
    <mergeCell ref="S1:V1"/>
    <mergeCell ref="W1:Z1"/>
    <mergeCell ref="AA1:AD1"/>
    <mergeCell ref="AE1:AH1"/>
    <mergeCell ref="AI1:AL1"/>
    <mergeCell ref="AM1:AP1"/>
    <mergeCell ref="A1:A2"/>
    <mergeCell ref="B1:B2"/>
    <mergeCell ref="C1:F1"/>
    <mergeCell ref="G1:J1"/>
    <mergeCell ref="K1:N1"/>
    <mergeCell ref="O1:R1"/>
    <mergeCell ref="BS1:BV1"/>
    <mergeCell ref="AU1:AX1"/>
    <mergeCell ref="AY1:BB1"/>
    <mergeCell ref="BG1:BJ1"/>
    <mergeCell ref="BK1:BN1"/>
    <mergeCell ref="BO1:BR1"/>
    <mergeCell ref="BC1:BF1"/>
  </mergeCells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J23"/>
  <sheetViews>
    <sheetView zoomScaleNormal="100" workbookViewId="0">
      <selection sqref="A1:XFD1048576"/>
    </sheetView>
  </sheetViews>
  <sheetFormatPr baseColWidth="10" defaultRowHeight="15" x14ac:dyDescent="0.25"/>
  <cols>
    <col min="1" max="1" width="84" style="11" customWidth="1"/>
    <col min="2" max="2" width="21.28515625" style="11" customWidth="1"/>
    <col min="3" max="6" width="18.7109375" style="11" customWidth="1"/>
    <col min="7" max="7" width="17.140625" style="11" customWidth="1"/>
    <col min="8" max="8" width="14.5703125" style="11" customWidth="1"/>
    <col min="9" max="9" width="18.42578125" style="11" customWidth="1"/>
    <col min="10" max="10" width="23" style="11" customWidth="1"/>
  </cols>
  <sheetData>
    <row r="1" spans="1:10" ht="63" customHeight="1" x14ac:dyDescent="0.25">
      <c r="B1" s="12" t="s">
        <v>16</v>
      </c>
      <c r="C1" s="12" t="s">
        <v>10</v>
      </c>
      <c r="D1" s="12" t="s">
        <v>11</v>
      </c>
      <c r="E1" s="12" t="s">
        <v>12</v>
      </c>
      <c r="F1" s="12" t="s">
        <v>13</v>
      </c>
      <c r="G1" s="13" t="s">
        <v>8</v>
      </c>
      <c r="H1" s="14" t="s">
        <v>9</v>
      </c>
      <c r="I1" s="15" t="s">
        <v>14</v>
      </c>
      <c r="J1" s="15" t="s">
        <v>15</v>
      </c>
    </row>
    <row r="2" spans="1:10" ht="103.5" customHeight="1" x14ac:dyDescent="0.25">
      <c r="A2" s="65" t="s">
        <v>99</v>
      </c>
      <c r="B2" s="17">
        <v>12250</v>
      </c>
      <c r="C2" s="30">
        <f>SUM('REGION 1 SAN JOSÉ CENTRAL'!C13+'REGIÓN 1 SAN JOSÉ NORTE'!C9+'REGIÓN 1 SAN JOSÉ SUR'!C13+'REGION 2 ALAJUELA'!C14+'REGION 3 CARTAGO'!C15+'REGION 4 HEREDIA'!C12+'REGION 5 CHOROTEGA'!C14+'REGION 6 PAC CENTRAL'!C11+'REGION 7 BRUNCA'!C6+'REGION 8 HUETAR NORTE'!C8+'REGION 9 HUETAR ATLANTICA'!C7+'REGIÓN 10 BRUNCA SUR'!C7+'REGION 11 CHOROTEGA NORTE'!C5+'REGION 12 CARIBE'!C7)</f>
        <v>0</v>
      </c>
      <c r="D2" s="30">
        <f>SUM('REGION 1 SAN JOSÉ CENTRAL'!D13+'REGIÓN 1 SAN JOSÉ NORTE'!D9+'REGIÓN 1 SAN JOSÉ SUR'!D13+'REGION 2 ALAJUELA'!D14+'REGION 3 CARTAGO'!D15+'REGION 4 HEREDIA'!D12+'REGION 5 CHOROTEGA'!D14+'REGION 6 PAC CENTRAL'!D11+'REGION 7 BRUNCA'!D6+'REGION 8 HUETAR NORTE'!D8+'REGION 9 HUETAR ATLANTICA'!D7+'REGIÓN 10 BRUNCA SUR'!D7+'REGION 11 CHOROTEGA NORTE'!D5+'REGION 12 CARIBE'!D7)</f>
        <v>14719</v>
      </c>
      <c r="E2" s="30">
        <f>SUM('REGION 1 SAN JOSÉ CENTRAL'!E13+'REGIÓN 1 SAN JOSÉ NORTE'!E9+'REGIÓN 1 SAN JOSÉ SUR'!E13+'REGION 2 ALAJUELA'!E14+'REGION 3 CARTAGO'!E15+'REGION 4 HEREDIA'!E12+'REGION 5 CHOROTEGA'!E14+'REGION 6 PAC CENTRAL'!E11+'REGION 7 BRUNCA'!E6+'REGION 8 HUETAR NORTE'!E8+'REGION 9 HUETAR ATLANTICA'!E7+'REGIÓN 10 BRUNCA SUR'!E7+'REGION 11 CHOROTEGA NORTE'!E5+'REGION 12 CARIBE'!E7)</f>
        <v>0</v>
      </c>
      <c r="F2" s="30">
        <f>SUM('REGION 1 SAN JOSÉ CENTRAL'!F13+'REGIÓN 1 SAN JOSÉ NORTE'!F9+'REGIÓN 1 SAN JOSÉ SUR'!F13+'REGION 2 ALAJUELA'!F14+'REGION 3 CARTAGO'!F15+'REGION 4 HEREDIA'!F12+'REGION 5 CHOROTEGA'!F14+'REGION 6 PAC CENTRAL'!F11+'REGION 7 BRUNCA'!F6+'REGION 8 HUETAR NORTE'!F8+'REGION 9 HUETAR ATLANTICA'!F7+'REGIÓN 10 BRUNCA SUR'!F7+'REGION 11 CHOROTEGA NORTE'!F5+'REGION 12 CARIBE'!F7)</f>
        <v>0</v>
      </c>
      <c r="G2" s="29">
        <f t="shared" ref="G2:G10" si="0">SUM(C2:F2)</f>
        <v>14719</v>
      </c>
      <c r="H2" s="16">
        <f t="shared" ref="H2:H14" si="1">SUM(G2-B2)</f>
        <v>2469</v>
      </c>
      <c r="I2" s="16"/>
      <c r="J2" s="16"/>
    </row>
    <row r="3" spans="1:10" ht="99" customHeight="1" x14ac:dyDescent="0.25">
      <c r="A3" s="33" t="s">
        <v>101</v>
      </c>
      <c r="B3" s="17">
        <v>2940</v>
      </c>
      <c r="C3" s="19">
        <f>SUM('REGION 1 SAN JOSÉ CENTRAL'!G13+'REGIÓN 1 SAN JOSÉ NORTE'!G9+'REGIÓN 1 SAN JOSÉ SUR'!G13+'REGION 2 ALAJUELA'!G14+'REGION 3 CARTAGO'!G15+'REGION 4 HEREDIA'!G12+'REGION 5 CHOROTEGA'!G14+'REGION 6 PAC CENTRAL'!G11+'REGION 7 BRUNCA'!G6+'REGION 8 HUETAR NORTE'!G8+'REGION 9 HUETAR ATLANTICA'!G7+'REGIÓN 10 BRUNCA SUR'!G7+'REGION 11 CHOROTEGA NORTE'!G5+'REGION 12 CARIBE'!G7)</f>
        <v>0</v>
      </c>
      <c r="D3" s="51">
        <f>SUM('REGION 1 SAN JOSÉ CENTRAL'!H13+'REGIÓN 1 SAN JOSÉ NORTE'!H9+'REGIÓN 1 SAN JOSÉ SUR'!H13+'REGION 2 ALAJUELA'!H14+'REGION 3 CARTAGO'!H15+'REGION 4 HEREDIA'!H12+'REGION 5 CHOROTEGA'!H14+'REGION 6 PAC CENTRAL'!H11+'REGION 7 BRUNCA'!H6+'REGION 8 HUETAR NORTE'!H8+'REGION 9 HUETAR ATLANTICA'!H7+'REGIÓN 10 BRUNCA SUR'!H7+'REGION 11 CHOROTEGA NORTE'!H5+'REGION 12 CARIBE'!H7)</f>
        <v>0</v>
      </c>
      <c r="E3" s="51">
        <f>SUM('REGION 1 SAN JOSÉ CENTRAL'!I13+'REGIÓN 1 SAN JOSÉ NORTE'!I9+'REGIÓN 1 SAN JOSÉ SUR'!I13+'REGION 2 ALAJUELA'!I14+'REGION 3 CARTAGO'!I15+'REGION 4 HEREDIA'!I12+'REGION 5 CHOROTEGA'!I14+'REGION 6 PAC CENTRAL'!I11+'REGION 7 BRUNCA'!I6+'REGION 8 HUETAR NORTE'!I8+'REGION 9 HUETAR ATLANTICA'!I7+'REGIÓN 10 BRUNCA SUR'!I7+'REGION 11 CHOROTEGA NORTE'!I5+'REGION 12 CARIBE'!I7)</f>
        <v>0</v>
      </c>
      <c r="F3" s="51">
        <f>SUM('REGION 1 SAN JOSÉ CENTRAL'!J13+'REGIÓN 1 SAN JOSÉ NORTE'!J9+'REGIÓN 1 SAN JOSÉ SUR'!J13+'REGION 2 ALAJUELA'!J14+'REGION 3 CARTAGO'!J15+'REGION 4 HEREDIA'!J12+'REGION 5 CHOROTEGA'!J14+'REGION 6 PAC CENTRAL'!J11+'REGION 7 BRUNCA'!J6+'REGION 8 HUETAR NORTE'!J8+'REGION 9 HUETAR ATLANTICA'!J7+'REGIÓN 10 BRUNCA SUR'!J7+'REGION 11 CHOROTEGA NORTE'!J5+'REGION 12 CARIBE'!J7)</f>
        <v>0</v>
      </c>
      <c r="G3" s="29">
        <f t="shared" si="0"/>
        <v>0</v>
      </c>
      <c r="H3" s="16">
        <f t="shared" si="1"/>
        <v>-2940</v>
      </c>
      <c r="I3" s="16"/>
      <c r="J3" s="16"/>
    </row>
    <row r="4" spans="1:10" ht="107.25" customHeight="1" x14ac:dyDescent="0.25">
      <c r="A4" s="65" t="s">
        <v>100</v>
      </c>
      <c r="B4" s="17">
        <v>9800</v>
      </c>
      <c r="C4" s="30">
        <f>SUM('REGION 1 SAN JOSÉ CENTRAL'!K13+'REGIÓN 1 SAN JOSÉ NORTE'!K9+'REGIÓN 1 SAN JOSÉ SUR'!K13+'REGION 2 ALAJUELA'!K14+'REGION 3 CARTAGO'!K15+'REGION 4 HEREDIA'!K12+'REGION 5 CHOROTEGA'!K14+'REGION 6 PAC CENTRAL'!K11+'REGION 7 BRUNCA'!K6+'REGION 8 HUETAR NORTE'!K8+'REGION 9 HUETAR ATLANTICA'!K7+'REGIÓN 10 BRUNCA SUR'!K7+'REGION 11 CHOROTEGA NORTE'!K5+'REGION 12 CARIBE'!K7)</f>
        <v>0</v>
      </c>
      <c r="D4" s="30">
        <f>SUM('REGION 1 SAN JOSÉ CENTRAL'!L13+'REGIÓN 1 SAN JOSÉ NORTE'!L9+'REGIÓN 1 SAN JOSÉ SUR'!L13+'REGION 2 ALAJUELA'!L14+'REGION 3 CARTAGO'!L15+'REGION 4 HEREDIA'!L12+'REGION 5 CHOROTEGA'!L14+'REGION 6 PAC CENTRAL'!L11+'REGION 7 BRUNCA'!L6+'REGION 8 HUETAR NORTE'!L8+'REGION 9 HUETAR ATLANTICA'!L7+'REGIÓN 10 BRUNCA SUR'!L7+'REGION 11 CHOROTEGA NORTE'!L5+'REGION 12 CARIBE'!L7)</f>
        <v>12419</v>
      </c>
      <c r="E4" s="30">
        <f>SUM('REGION 1 SAN JOSÉ CENTRAL'!M13+'REGIÓN 1 SAN JOSÉ NORTE'!M9+'REGIÓN 1 SAN JOSÉ SUR'!M13+'REGION 2 ALAJUELA'!M14+'REGION 3 CARTAGO'!M15+'REGION 4 HEREDIA'!M12+'REGION 5 CHOROTEGA'!M14+'REGION 6 PAC CENTRAL'!M11+'REGION 7 BRUNCA'!M6+'REGION 8 HUETAR NORTE'!M8+'REGION 9 HUETAR ATLANTICA'!M7+'REGIÓN 10 BRUNCA SUR'!M7+'REGION 11 CHOROTEGA NORTE'!M5+'REGION 12 CARIBE'!M7)</f>
        <v>0</v>
      </c>
      <c r="F4" s="30">
        <f>SUM('REGION 1 SAN JOSÉ CENTRAL'!N13+'REGIÓN 1 SAN JOSÉ NORTE'!N9+'REGIÓN 1 SAN JOSÉ SUR'!N13+'REGION 2 ALAJUELA'!N14+'REGION 3 CARTAGO'!N15+'REGION 4 HEREDIA'!N12+'REGION 5 CHOROTEGA'!N14+'REGION 6 PAC CENTRAL'!N11+'REGION 7 BRUNCA'!N6+'REGION 8 HUETAR NORTE'!N8+'REGION 9 HUETAR ATLANTICA'!N7+'REGIÓN 10 BRUNCA SUR'!N7+'REGION 11 CHOROTEGA NORTE'!N5+'REGION 12 CARIBE'!N7)</f>
        <v>0</v>
      </c>
      <c r="G4" s="29">
        <f t="shared" si="0"/>
        <v>12419</v>
      </c>
      <c r="H4" s="16">
        <f t="shared" si="1"/>
        <v>2619</v>
      </c>
      <c r="I4" s="16"/>
      <c r="J4" s="16"/>
    </row>
    <row r="5" spans="1:10" ht="99.75" customHeight="1" x14ac:dyDescent="0.25">
      <c r="A5" s="33" t="s">
        <v>102</v>
      </c>
      <c r="B5" s="17">
        <v>1960</v>
      </c>
      <c r="C5" s="19">
        <f>SUM('REGION 1 SAN JOSÉ CENTRAL'!O13+'REGIÓN 1 SAN JOSÉ NORTE'!O9+'REGIÓN 1 SAN JOSÉ SUR'!O13+'REGION 2 ALAJUELA'!O14+'REGION 3 CARTAGO'!O15+'REGION 4 HEREDIA'!O12+'REGION 5 CHOROTEGA'!O14+'REGION 6 PAC CENTRAL'!O11+'REGION 7 BRUNCA'!O6+'REGION 8 HUETAR NORTE'!O8+'REGION 9 HUETAR ATLANTICA'!O7+'REGIÓN 10 BRUNCA SUR'!O7+'REGION 11 CHOROTEGA NORTE'!O5+'REGION 12 CARIBE'!O7)</f>
        <v>0</v>
      </c>
      <c r="D5" s="51">
        <f>SUM('REGION 1 SAN JOSÉ CENTRAL'!P13+'REGIÓN 1 SAN JOSÉ NORTE'!P9+'REGIÓN 1 SAN JOSÉ SUR'!P13+'REGION 2 ALAJUELA'!P14+'REGION 3 CARTAGO'!P15+'REGION 4 HEREDIA'!P12+'REGION 5 CHOROTEGA'!P14+'REGION 6 PAC CENTRAL'!P11+'REGION 7 BRUNCA'!P6+'REGION 8 HUETAR NORTE'!P8+'REGION 9 HUETAR ATLANTICA'!P7+'REGIÓN 10 BRUNCA SUR'!P7+'REGION 11 CHOROTEGA NORTE'!P5+'REGION 12 CARIBE'!P7)</f>
        <v>0</v>
      </c>
      <c r="E5" s="51">
        <f>SUM('REGION 1 SAN JOSÉ CENTRAL'!Q13+'REGIÓN 1 SAN JOSÉ NORTE'!Q9+'REGIÓN 1 SAN JOSÉ SUR'!Q13+'REGION 2 ALAJUELA'!Q14+'REGION 3 CARTAGO'!Q15+'REGION 4 HEREDIA'!Q12+'REGION 5 CHOROTEGA'!Q14+'REGION 6 PAC CENTRAL'!Q11+'REGION 7 BRUNCA'!Q6+'REGION 8 HUETAR NORTE'!Q8+'REGION 9 HUETAR ATLANTICA'!Q7+'REGIÓN 10 BRUNCA SUR'!Q7+'REGION 11 CHOROTEGA NORTE'!Q5+'REGION 12 CARIBE'!Q7)</f>
        <v>0</v>
      </c>
      <c r="F5" s="51">
        <f>SUM('REGION 1 SAN JOSÉ CENTRAL'!R13+'REGIÓN 1 SAN JOSÉ NORTE'!R9+'REGIÓN 1 SAN JOSÉ SUR'!R13+'REGION 2 ALAJUELA'!R14+'REGION 3 CARTAGO'!R15+'REGION 4 HEREDIA'!R12+'REGION 5 CHOROTEGA'!R14+'REGION 6 PAC CENTRAL'!R11+'REGION 7 BRUNCA'!R6+'REGION 8 HUETAR NORTE'!R8+'REGION 9 HUETAR ATLANTICA'!R7+'REGIÓN 10 BRUNCA SUR'!R7+'REGION 11 CHOROTEGA NORTE'!R5+'REGION 12 CARIBE'!R7)</f>
        <v>0</v>
      </c>
      <c r="G5" s="29">
        <f t="shared" si="0"/>
        <v>0</v>
      </c>
      <c r="H5" s="16">
        <f t="shared" si="1"/>
        <v>-1960</v>
      </c>
      <c r="I5" s="16"/>
      <c r="J5" s="16"/>
    </row>
    <row r="6" spans="1:10" ht="96.75" customHeight="1" x14ac:dyDescent="0.25">
      <c r="A6" s="65" t="s">
        <v>108</v>
      </c>
      <c r="B6" s="17">
        <v>4900</v>
      </c>
      <c r="C6" s="30">
        <f>SUM('REGION 1 SAN JOSÉ CENTRAL'!S13+'REGIÓN 1 SAN JOSÉ NORTE'!S9+'REGIÓN 1 SAN JOSÉ SUR'!S13+'REGION 2 ALAJUELA'!S14+'REGION 3 CARTAGO'!S15+'REGION 4 HEREDIA'!S12+'REGION 5 CHOROTEGA'!S14+'REGION 6 PAC CENTRAL'!S11+'REGION 7 BRUNCA'!S6+'REGION 8 HUETAR NORTE'!S8+'REGION 9 HUETAR ATLANTICA'!S7+'REGIÓN 10 BRUNCA SUR'!S7+'REGION 11 CHOROTEGA NORTE'!S5+'REGION 12 CARIBE'!S7)</f>
        <v>0</v>
      </c>
      <c r="D6" s="30">
        <f>SUM('REGION 1 SAN JOSÉ CENTRAL'!T13+'REGIÓN 1 SAN JOSÉ NORTE'!T9+'REGIÓN 1 SAN JOSÉ SUR'!T13+'REGION 2 ALAJUELA'!T14+'REGION 3 CARTAGO'!T15+'REGION 4 HEREDIA'!T12+'REGION 5 CHOROTEGA'!T14+'REGION 6 PAC CENTRAL'!T11+'REGION 7 BRUNCA'!T6+'REGION 8 HUETAR NORTE'!T8+'REGION 9 HUETAR ATLANTICA'!T7+'REGIÓN 10 BRUNCA SUR'!T7+'REGION 11 CHOROTEGA NORTE'!T5+'REGION 12 CARIBE'!T7)</f>
        <v>8382</v>
      </c>
      <c r="E6" s="30">
        <f>SUM('REGION 1 SAN JOSÉ CENTRAL'!U13+'REGIÓN 1 SAN JOSÉ NORTE'!U9+'REGIÓN 1 SAN JOSÉ SUR'!U13+'REGION 2 ALAJUELA'!U14+'REGION 3 CARTAGO'!U15+'REGION 4 HEREDIA'!U12+'REGION 5 CHOROTEGA'!U14+'REGION 6 PAC CENTRAL'!U11+'REGION 7 BRUNCA'!U6+'REGION 8 HUETAR NORTE'!U8+'REGION 9 HUETAR ATLANTICA'!U7+'REGIÓN 10 BRUNCA SUR'!U7+'REGION 11 CHOROTEGA NORTE'!U5+'REGION 12 CARIBE'!U7)</f>
        <v>0</v>
      </c>
      <c r="F6" s="30">
        <f>SUM('REGION 1 SAN JOSÉ CENTRAL'!V13+'REGIÓN 1 SAN JOSÉ NORTE'!V9+'REGIÓN 1 SAN JOSÉ SUR'!V13+'REGION 2 ALAJUELA'!V14+'REGION 3 CARTAGO'!V15+'REGION 4 HEREDIA'!V12+'REGION 5 CHOROTEGA'!V14+'REGION 6 PAC CENTRAL'!V11+'REGION 7 BRUNCA'!V6+'REGION 8 HUETAR NORTE'!V8+'REGION 9 HUETAR ATLANTICA'!V7+'REGIÓN 10 BRUNCA SUR'!V7+'REGION 11 CHOROTEGA NORTE'!V5+'REGION 12 CARIBE'!V7)</f>
        <v>0</v>
      </c>
      <c r="G6" s="29">
        <f t="shared" si="0"/>
        <v>8382</v>
      </c>
      <c r="H6" s="16">
        <f t="shared" si="1"/>
        <v>3482</v>
      </c>
      <c r="I6" s="16"/>
      <c r="J6" s="95"/>
    </row>
    <row r="7" spans="1:10" ht="90.75" customHeight="1" x14ac:dyDescent="0.25">
      <c r="A7" s="33" t="s">
        <v>109</v>
      </c>
      <c r="B7" s="17">
        <v>1470</v>
      </c>
      <c r="C7" s="19">
        <f>SUM('REGIÓN 1 SAN JOSÉ NORTE'!W9+'REGIÓN 1 SAN JOSÉ SUR'!W13+'REGION 2 ALAJUELA'!W14+'REGION 3 CARTAGO'!W15+'REGION 4 HEREDIA'!W12+'REGION 5 CHOROTEGA'!W14+'REGION 6 PAC CENTRAL'!W11+'REGION 7 BRUNCA'!W6+'REGION 8 HUETAR NORTE'!W8+'REGION 9 HUETAR ATLANTICA'!W7+'REGIÓN 10 BRUNCA SUR'!W7+'REGION 11 CHOROTEGA NORTE'!W5+'REGION 12 CARIBE'!W7)</f>
        <v>0</v>
      </c>
      <c r="D7" s="51">
        <f>SUM('REGIÓN 1 SAN JOSÉ NORTE'!X9+'REGIÓN 1 SAN JOSÉ SUR'!X13+'REGION 2 ALAJUELA'!X14+'REGION 3 CARTAGO'!X15+'REGION 4 HEREDIA'!X12+'REGION 5 CHOROTEGA'!X14+'REGION 6 PAC CENTRAL'!X11+'REGION 7 BRUNCA'!X6+'REGION 8 HUETAR NORTE'!X8+'REGION 9 HUETAR ATLANTICA'!X7+'REGIÓN 10 BRUNCA SUR'!X7+'REGION 11 CHOROTEGA NORTE'!X5+'REGION 12 CARIBE'!X7)</f>
        <v>0</v>
      </c>
      <c r="E7" s="51">
        <f>SUM('REGIÓN 1 SAN JOSÉ NORTE'!Y9+'REGIÓN 1 SAN JOSÉ SUR'!Y13+'REGION 2 ALAJUELA'!Y14+'REGION 3 CARTAGO'!Y15+'REGION 4 HEREDIA'!Y12+'REGION 5 CHOROTEGA'!Y14+'REGION 6 PAC CENTRAL'!Y11+'REGION 7 BRUNCA'!Y6+'REGION 8 HUETAR NORTE'!Y8+'REGION 9 HUETAR ATLANTICA'!Y7+'REGIÓN 10 BRUNCA SUR'!Y7+'REGION 11 CHOROTEGA NORTE'!Y5+'REGION 12 CARIBE'!Y7)</f>
        <v>0</v>
      </c>
      <c r="F7" s="51">
        <f>SUM('REGIÓN 1 SAN JOSÉ NORTE'!Z9+'REGIÓN 1 SAN JOSÉ SUR'!Z13+'REGION 2 ALAJUELA'!Z14+'REGION 3 CARTAGO'!Z15+'REGION 4 HEREDIA'!Z12+'REGION 5 CHOROTEGA'!Z14+'REGION 6 PAC CENTRAL'!Z11+'REGION 7 BRUNCA'!Z6+'REGION 8 HUETAR NORTE'!Z8+'REGION 9 HUETAR ATLANTICA'!Z7+'REGIÓN 10 BRUNCA SUR'!Z7+'REGION 11 CHOROTEGA NORTE'!Z5+'REGION 12 CARIBE'!Z7)</f>
        <v>0</v>
      </c>
      <c r="G7" s="29">
        <f t="shared" si="0"/>
        <v>0</v>
      </c>
      <c r="H7" s="16">
        <f t="shared" si="1"/>
        <v>-1470</v>
      </c>
      <c r="I7" s="16"/>
      <c r="J7" s="95"/>
    </row>
    <row r="8" spans="1:10" ht="107.25" customHeight="1" x14ac:dyDescent="0.25">
      <c r="A8" s="65" t="s">
        <v>105</v>
      </c>
      <c r="B8" s="17">
        <v>1960</v>
      </c>
      <c r="C8" s="30">
        <f>SUM('REGION 1 SAN JOSÉ CENTRAL'!AA13+'REGIÓN 1 SAN JOSÉ NORTE'!AA9+'REGIÓN 1 SAN JOSÉ SUR'!AA13+'REGION 2 ALAJUELA'!AA14+'REGION 3 CARTAGO'!AA15+'REGION 4 HEREDIA'!AA12+'REGION 5 CHOROTEGA'!AA14+'REGION 6 PAC CENTRAL'!AA11+'REGION 7 BRUNCA'!AA6+'REGION 8 HUETAR NORTE'!AA8+'REGION 9 HUETAR ATLANTICA'!AA7+'REGIÓN 10 BRUNCA SUR'!AA7+'REGION 11 CHOROTEGA NORTE'!AA5+'REGION 12 CARIBE'!AA7)</f>
        <v>0</v>
      </c>
      <c r="D8" s="30">
        <f>SUM('REGION 1 SAN JOSÉ CENTRAL'!AB13+'REGIÓN 1 SAN JOSÉ NORTE'!AB9+'REGIÓN 1 SAN JOSÉ SUR'!AB13+'REGION 2 ALAJUELA'!AB14+'REGION 3 CARTAGO'!AB15+'REGION 4 HEREDIA'!AB12+'REGION 5 CHOROTEGA'!AB14+'REGION 6 PAC CENTRAL'!AB11+'REGION 7 BRUNCA'!AB6+'REGION 8 HUETAR NORTE'!AB8+'REGION 9 HUETAR ATLANTICA'!AB7+'REGIÓN 10 BRUNCA SUR'!AB7+'REGION 11 CHOROTEGA NORTE'!AB5+'REGION 12 CARIBE'!AB7)</f>
        <v>5</v>
      </c>
      <c r="E8" s="30">
        <f>SUM('REGION 1 SAN JOSÉ CENTRAL'!AC13+'REGIÓN 1 SAN JOSÉ NORTE'!AC9+'REGIÓN 1 SAN JOSÉ SUR'!AC13+'REGION 2 ALAJUELA'!AC14+'REGION 3 CARTAGO'!AC15+'REGION 4 HEREDIA'!AC12+'REGION 5 CHOROTEGA'!AC14+'REGION 6 PAC CENTRAL'!AC11+'REGION 7 BRUNCA'!AC6+'REGION 8 HUETAR NORTE'!AC8+'REGION 9 HUETAR ATLANTICA'!AC7+'REGIÓN 10 BRUNCA SUR'!AC7+'REGION 11 CHOROTEGA NORTE'!AC5+'REGION 12 CARIBE'!AC7)</f>
        <v>0</v>
      </c>
      <c r="F8" s="30">
        <f>SUM('REGION 1 SAN JOSÉ CENTRAL'!AD13+'REGIÓN 1 SAN JOSÉ NORTE'!AD9+'REGIÓN 1 SAN JOSÉ SUR'!AD13+'REGION 2 ALAJUELA'!AD14+'REGION 3 CARTAGO'!AD15+'REGION 4 HEREDIA'!AD12+'REGION 5 CHOROTEGA'!AD14+'REGION 6 PAC CENTRAL'!AD11+'REGION 7 BRUNCA'!AD6+'REGION 8 HUETAR NORTE'!AD8+'REGION 9 HUETAR ATLANTICA'!AD7+'REGIÓN 10 BRUNCA SUR'!AD7+'REGION 11 CHOROTEGA NORTE'!AD5+'REGION 12 CARIBE'!AD7)</f>
        <v>0</v>
      </c>
      <c r="G8" s="29">
        <f t="shared" si="0"/>
        <v>5</v>
      </c>
      <c r="H8" s="16">
        <f t="shared" si="1"/>
        <v>-1955</v>
      </c>
      <c r="I8" s="16"/>
      <c r="J8" s="16"/>
    </row>
    <row r="9" spans="1:10" ht="107.25" customHeight="1" x14ac:dyDescent="0.25">
      <c r="A9" s="48" t="s">
        <v>61</v>
      </c>
      <c r="B9" s="17">
        <v>9800</v>
      </c>
      <c r="C9" s="51">
        <f>SUM('REGION 1 SAN JOSÉ CENTRAL'!AE13+'REGIÓN 1 SAN JOSÉ NORTE'!AE9+'REGIÓN 1 SAN JOSÉ SUR'!AE13+'REGION 2 ALAJUELA'!AE14+'REGION 3 CARTAGO'!AE15+'REGION 4 HEREDIA'!AE12+'REGION 5 CHOROTEGA'!AE14+'REGION 6 PAC CENTRAL'!AE11+'REGION 7 BRUNCA'!AE6+'REGION 8 HUETAR NORTE'!AE8+'REGION 9 HUETAR ATLANTICA'!AE7+'REGIÓN 10 BRUNCA SUR'!AE7+'REGION 11 CHOROTEGA NORTE'!AE5+'REGION 12 CARIBE'!AE7)</f>
        <v>24367</v>
      </c>
      <c r="D9" s="51">
        <f>SUM('REGION 1 SAN JOSÉ CENTRAL'!AF13+'REGIÓN 1 SAN JOSÉ NORTE'!AF9+'REGIÓN 1 SAN JOSÉ SUR'!AF13+'REGION 2 ALAJUELA'!AF14+'REGION 3 CARTAGO'!AF15+'REGION 4 HEREDIA'!AF12+'REGION 5 CHOROTEGA'!AF14+'REGION 6 PAC CENTRAL'!AF11+'REGION 7 BRUNCA'!AF6+'REGION 8 HUETAR NORTE'!AF8+'REGION 9 HUETAR ATLANTICA'!AF7+'REGIÓN 10 BRUNCA SUR'!AF7+'REGION 11 CHOROTEGA NORTE'!AF5+'REGION 12 CARIBE'!AF7)</f>
        <v>45</v>
      </c>
      <c r="E9" s="51">
        <f>SUM('REGION 1 SAN JOSÉ CENTRAL'!AG13+'REGIÓN 1 SAN JOSÉ NORTE'!AG9+'REGIÓN 1 SAN JOSÉ SUR'!AG13+'REGION 2 ALAJUELA'!AG14+'REGION 3 CARTAGO'!AG15+'REGION 4 HEREDIA'!AG12+'REGION 5 CHOROTEGA'!AG14+'REGION 6 PAC CENTRAL'!AG11+'REGION 7 BRUNCA'!AG6+'REGION 8 HUETAR NORTE'!AG8+'REGION 9 HUETAR ATLANTICA'!AG7+'REGIÓN 10 BRUNCA SUR'!AG7+'REGION 11 CHOROTEGA NORTE'!AG5+'REGION 12 CARIBE'!AG7)</f>
        <v>0</v>
      </c>
      <c r="F9" s="51">
        <f>SUM('REGION 1 SAN JOSÉ CENTRAL'!AH13+'REGIÓN 1 SAN JOSÉ NORTE'!AH9+'REGIÓN 1 SAN JOSÉ SUR'!AH13+'REGION 2 ALAJUELA'!AH14+'REGION 3 CARTAGO'!AH15+'REGION 4 HEREDIA'!AH12+'REGION 5 CHOROTEGA'!AH14+'REGION 6 PAC CENTRAL'!AH11+'REGION 7 BRUNCA'!AH6+'REGION 8 HUETAR NORTE'!AH8+'REGION 9 HUETAR ATLANTICA'!AH7+'REGIÓN 10 BRUNCA SUR'!AH7+'REGION 11 CHOROTEGA NORTE'!AH5+'REGION 12 CARIBE'!AH7)</f>
        <v>0</v>
      </c>
      <c r="G9" s="29">
        <f t="shared" si="0"/>
        <v>24412</v>
      </c>
      <c r="H9" s="32">
        <f t="shared" si="1"/>
        <v>14612</v>
      </c>
      <c r="I9" s="16"/>
      <c r="J9" s="16"/>
    </row>
    <row r="10" spans="1:10" ht="107.25" customHeight="1" x14ac:dyDescent="0.25">
      <c r="A10" s="50" t="s">
        <v>58</v>
      </c>
      <c r="B10" s="32">
        <v>9800</v>
      </c>
      <c r="C10" s="30">
        <f>SUM('REGION 1 SAN JOSÉ CENTRAL'!AI13+'REGIÓN 1 SAN JOSÉ NORTE'!AI9+'REGIÓN 1 SAN JOSÉ SUR'!AI13+'REGION 2 ALAJUELA'!AI14+'REGION 3 CARTAGO'!AI15+'REGION 4 HEREDIA'!AI12+'REGION 5 CHOROTEGA'!AI14+'REGION 6 PAC CENTRAL'!AI11+'REGION 7 BRUNCA'!AI6+'REGION 8 HUETAR NORTE'!AI8+'REGION 9 HUETAR ATLANTICA'!AI7+'REGIÓN 10 BRUNCA SUR'!AI7+'REGION 11 CHOROTEGA NORTE'!AI5+'REGION 12 CARIBE'!AI7)</f>
        <v>0</v>
      </c>
      <c r="D10" s="30">
        <f>SUM('REGION 1 SAN JOSÉ CENTRAL'!AJ13+'REGIÓN 1 SAN JOSÉ NORTE'!AJ9+'REGIÓN 1 SAN JOSÉ SUR'!AJ13+'REGION 2 ALAJUELA'!AJ14+'REGION 3 CARTAGO'!AJ15+'REGION 4 HEREDIA'!AJ12+'REGION 5 CHOROTEGA'!AJ14+'REGION 6 PAC CENTRAL'!AJ11+'REGION 7 BRUNCA'!AJ6+'REGION 8 HUETAR NORTE'!AJ8+'REGION 9 HUETAR ATLANTICA'!AJ7+'REGIÓN 10 BRUNCA SUR'!AJ7+'REGION 11 CHOROTEGA NORTE'!AJ5+'REGION 12 CARIBE'!AJ7)</f>
        <v>2859</v>
      </c>
      <c r="E10" s="30">
        <f>SUM('REGION 1 SAN JOSÉ CENTRAL'!AK13+'REGIÓN 1 SAN JOSÉ NORTE'!AK9+'REGIÓN 1 SAN JOSÉ SUR'!AK13+'REGION 2 ALAJUELA'!AK14+'REGION 3 CARTAGO'!AK15+'REGION 4 HEREDIA'!AK12+'REGION 5 CHOROTEGA'!AK14+'REGION 6 PAC CENTRAL'!AK11+'REGION 7 BRUNCA'!AK6+'REGION 8 HUETAR NORTE'!AK8+'REGION 9 HUETAR ATLANTICA'!AK7+'REGIÓN 10 BRUNCA SUR'!AK7+'REGION 11 CHOROTEGA NORTE'!AK5+'REGION 12 CARIBE'!AK7)</f>
        <v>3009</v>
      </c>
      <c r="F10" s="30">
        <f>SUM('REGION 1 SAN JOSÉ CENTRAL'!AL13+'REGIÓN 1 SAN JOSÉ NORTE'!AL9+'REGIÓN 1 SAN JOSÉ SUR'!AL13+'REGION 2 ALAJUELA'!AL14+'REGION 3 CARTAGO'!AL15+'REGION 4 HEREDIA'!AL12+'REGION 5 CHOROTEGA'!AL14+'REGION 6 PAC CENTRAL'!AL11+'REGION 7 BRUNCA'!AL6+'REGION 8 HUETAR NORTE'!AL8+'REGION 9 HUETAR ATLANTICA'!AL7+'REGIÓN 10 BRUNCA SUR'!AL7+'REGION 11 CHOROTEGA NORTE'!AL5+'REGION 12 CARIBE'!AL7)</f>
        <v>0</v>
      </c>
      <c r="G10" s="29">
        <f t="shared" si="0"/>
        <v>5868</v>
      </c>
      <c r="H10" s="16">
        <f t="shared" si="1"/>
        <v>-3932</v>
      </c>
      <c r="I10" s="16"/>
      <c r="J10" s="16"/>
    </row>
    <row r="11" spans="1:10" ht="107.25" customHeight="1" x14ac:dyDescent="0.25">
      <c r="A11" s="48" t="s">
        <v>57</v>
      </c>
      <c r="B11" s="32">
        <v>9800</v>
      </c>
      <c r="C11" s="19">
        <f>SUM('REGION 1 SAN JOSÉ CENTRAL'!AM13+'REGIÓN 1 SAN JOSÉ NORTE'!AM9+'REGIÓN 1 SAN JOSÉ SUR'!AM13+'REGION 2 ALAJUELA'!AM14+'REGION 3 CARTAGO'!AM15+'REGION 4 HEREDIA'!AM12+'REGION 5 CHOROTEGA'!AM14+'REGION 6 PAC CENTRAL'!AM11+'REGION 7 BRUNCA'!AM6+'REGION 8 HUETAR NORTE'!AM8+'REGION 9 HUETAR ATLANTICA'!AM7+'REGIÓN 10 BRUNCA SUR'!AM7+'REGION 11 CHOROTEGA NORTE'!AM5+'REGION 12 CARIBE'!AM7)</f>
        <v>0</v>
      </c>
      <c r="D11" s="51">
        <f>SUM('REGION 1 SAN JOSÉ CENTRAL'!AN13+'REGIÓN 1 SAN JOSÉ NORTE'!AN9+'REGIÓN 1 SAN JOSÉ SUR'!AN13+'REGION 2 ALAJUELA'!AN14+'REGION 3 CARTAGO'!AN15+'REGION 4 HEREDIA'!AN12+'REGION 5 CHOROTEGA'!AN14+'REGION 6 PAC CENTRAL'!AN11+'REGION 7 BRUNCA'!AN6+'REGION 8 HUETAR NORTE'!AN8+'REGION 9 HUETAR ATLANTICA'!AN7+'REGIÓN 10 BRUNCA SUR'!AN7+'REGION 11 CHOROTEGA NORTE'!AN5+'REGION 12 CARIBE'!AN7)</f>
        <v>0</v>
      </c>
      <c r="E11" s="51">
        <f>SUM('REGION 1 SAN JOSÉ CENTRAL'!AO13+'REGIÓN 1 SAN JOSÉ NORTE'!AO9+'REGIÓN 1 SAN JOSÉ SUR'!AO13+'REGION 2 ALAJUELA'!AO14+'REGION 3 CARTAGO'!AO15+'REGION 4 HEREDIA'!AO12+'REGION 5 CHOROTEGA'!AO14+'REGION 6 PAC CENTRAL'!AO11+'REGION 7 BRUNCA'!AO6+'REGION 8 HUETAR NORTE'!AO8+'REGION 9 HUETAR ATLANTICA'!AO7+'REGIÓN 10 BRUNCA SUR'!AO7+'REGION 11 CHOROTEGA NORTE'!AO5+'REGION 12 CARIBE'!AO7)</f>
        <v>0</v>
      </c>
      <c r="F11" s="51">
        <f>SUM('REGION 1 SAN JOSÉ CENTRAL'!AP13+'REGIÓN 1 SAN JOSÉ NORTE'!AP9+'REGIÓN 1 SAN JOSÉ SUR'!AP13+'REGION 2 ALAJUELA'!AP14+'REGION 3 CARTAGO'!AP15+'REGION 4 HEREDIA'!AP12+'REGION 5 CHOROTEGA'!AP14+'REGION 6 PAC CENTRAL'!AP11+'REGION 7 BRUNCA'!AP6+'REGION 8 HUETAR NORTE'!AP8+'REGION 9 HUETAR ATLANTICA'!AP7+'REGIÓN 10 BRUNCA SUR'!AP7+'REGION 11 CHOROTEGA NORTE'!AP5+'REGION 12 CARIBE'!AP7)</f>
        <v>0</v>
      </c>
      <c r="G11" s="29">
        <f t="shared" ref="G11:G22" si="2">SUM(C11:F11)</f>
        <v>0</v>
      </c>
      <c r="H11" s="16">
        <f t="shared" si="1"/>
        <v>-9800</v>
      </c>
      <c r="I11" s="16"/>
      <c r="J11" s="16"/>
    </row>
    <row r="12" spans="1:10" ht="107.25" customHeight="1" x14ac:dyDescent="0.25">
      <c r="A12" s="50" t="s">
        <v>59</v>
      </c>
      <c r="B12" s="32">
        <v>9800</v>
      </c>
      <c r="C12" s="30">
        <f>SUM('REGION 1 SAN JOSÉ CENTRAL'!AQ13+'REGIÓN 1 SAN JOSÉ NORTE'!AQ9+'REGIÓN 1 SAN JOSÉ SUR'!AQ13+'REGION 2 ALAJUELA'!AQ14+'REGION 3 CARTAGO'!AQ15+'REGION 4 HEREDIA'!AQ12+'REGION 5 CHOROTEGA'!AQ14+'REGION 6 PAC CENTRAL'!AQ11+'REGION 7 BRUNCA'!AQ6+'REGION 8 HUETAR NORTE'!AQ8+'REGION 9 HUETAR ATLANTICA'!AQ7+'REGIÓN 10 BRUNCA SUR'!AQ7+'REGION 11 CHOROTEGA NORTE'!AQ5+'REGION 12 CARIBE'!AQ7)</f>
        <v>0</v>
      </c>
      <c r="D12" s="30">
        <f>SUM('REGION 1 SAN JOSÉ CENTRAL'!AR13+'REGIÓN 1 SAN JOSÉ NORTE'!AR9+'REGIÓN 1 SAN JOSÉ SUR'!AR13+'REGION 2 ALAJUELA'!AR14+'REGION 3 CARTAGO'!AR15+'REGION 4 HEREDIA'!AR12+'REGION 5 CHOROTEGA'!AR14+'REGION 6 PAC CENTRAL'!AR11+'REGION 7 BRUNCA'!AR6+'REGION 8 HUETAR NORTE'!AR8+'REGION 9 HUETAR ATLANTICA'!AR7+'REGIÓN 10 BRUNCA SUR'!AR7+'REGION 11 CHOROTEGA NORTE'!AR5+'REGION 12 CARIBE'!AR7)</f>
        <v>0</v>
      </c>
      <c r="E12" s="30">
        <f>SUM('REGION 1 SAN JOSÉ CENTRAL'!AS13+'REGIÓN 1 SAN JOSÉ NORTE'!AS9+'REGIÓN 1 SAN JOSÉ SUR'!AS13+'REGION 2 ALAJUELA'!AS14+'REGION 3 CARTAGO'!AS15+'REGION 4 HEREDIA'!AS12+'REGION 5 CHOROTEGA'!AS14+'REGION 6 PAC CENTRAL'!AS11+'REGION 7 BRUNCA'!AS6+'REGION 8 HUETAR NORTE'!AS8+'REGION 9 HUETAR ATLANTICA'!AS7+'REGIÓN 10 BRUNCA SUR'!AS7+'REGION 11 CHOROTEGA NORTE'!AS5+'REGION 12 CARIBE'!AS7)</f>
        <v>0</v>
      </c>
      <c r="F12" s="30">
        <f>SUM('REGION 1 SAN JOSÉ CENTRAL'!AT13+'REGIÓN 1 SAN JOSÉ NORTE'!AT9+'REGIÓN 1 SAN JOSÉ SUR'!AT13+'REGION 2 ALAJUELA'!AT14+'REGION 3 CARTAGO'!AT15+'REGION 4 HEREDIA'!AT12+'REGION 5 CHOROTEGA'!AT14+'REGION 6 PAC CENTRAL'!AT11+'REGION 7 BRUNCA'!AT6+'REGION 8 HUETAR NORTE'!AT8+'REGION 9 HUETAR ATLANTICA'!AT7+'REGIÓN 10 BRUNCA SUR'!AT7+'REGION 11 CHOROTEGA NORTE'!AT5+'REGION 12 CARIBE'!AT7)</f>
        <v>0</v>
      </c>
      <c r="G12" s="29">
        <f t="shared" si="2"/>
        <v>0</v>
      </c>
      <c r="H12" s="16">
        <f t="shared" si="1"/>
        <v>-9800</v>
      </c>
      <c r="I12" s="16"/>
      <c r="J12" s="16"/>
    </row>
    <row r="13" spans="1:10" ht="107.25" customHeight="1" x14ac:dyDescent="0.25">
      <c r="A13" s="48" t="s">
        <v>106</v>
      </c>
      <c r="B13" s="32">
        <v>9800</v>
      </c>
      <c r="C13" s="19">
        <f>SUM('REGION 1 SAN JOSÉ CENTRAL'!AU13+'REGIÓN 1 SAN JOSÉ NORTE'!AU9+'REGIÓN 1 SAN JOSÉ SUR'!AU13+'REGION 2 ALAJUELA'!AU14+'REGION 3 CARTAGO'!AU15+'REGION 4 HEREDIA'!AU12+'REGION 5 CHOROTEGA'!AU14+'REGION 6 PAC CENTRAL'!AU11+'REGION 7 BRUNCA'!AU6+'REGION 8 HUETAR NORTE'!AU8+'REGION 9 HUETAR ATLANTICA'!AU7+'REGIÓN 10 BRUNCA SUR'!AU7+'REGION 11 CHOROTEGA NORTE'!AU5+'REGION 12 CARIBE'!AU7)</f>
        <v>0</v>
      </c>
      <c r="D13" s="51">
        <f>SUM('REGION 1 SAN JOSÉ CENTRAL'!AV13+'REGIÓN 1 SAN JOSÉ NORTE'!AV9+'REGIÓN 1 SAN JOSÉ SUR'!AV13+'REGION 2 ALAJUELA'!AV14+'REGION 3 CARTAGO'!AV15+'REGION 4 HEREDIA'!AV12+'REGION 5 CHOROTEGA'!AV14+'REGION 6 PAC CENTRAL'!AV11+'REGION 7 BRUNCA'!AV6+'REGION 8 HUETAR NORTE'!AV8+'REGION 9 HUETAR ATLANTICA'!AV7+'REGIÓN 10 BRUNCA SUR'!AV7+'REGION 11 CHOROTEGA NORTE'!AV5+'REGION 12 CARIBE'!AV7)</f>
        <v>0</v>
      </c>
      <c r="E13" s="51">
        <f>SUM('REGION 1 SAN JOSÉ CENTRAL'!AW13+'REGIÓN 1 SAN JOSÉ NORTE'!AW9+'REGIÓN 1 SAN JOSÉ SUR'!AW13+'REGION 2 ALAJUELA'!AW14+'REGION 3 CARTAGO'!AW15+'REGION 4 HEREDIA'!AW12+'REGION 5 CHOROTEGA'!AW14+'REGION 6 PAC CENTRAL'!AW11+'REGION 7 BRUNCA'!AW6+'REGION 8 HUETAR NORTE'!AW8+'REGION 9 HUETAR ATLANTICA'!AW7+'REGIÓN 10 BRUNCA SUR'!AW7+'REGION 11 CHOROTEGA NORTE'!AW5+'REGION 12 CARIBE'!AW7)</f>
        <v>0</v>
      </c>
      <c r="F13" s="51">
        <f>SUM('REGION 1 SAN JOSÉ CENTRAL'!AX13+'REGIÓN 1 SAN JOSÉ NORTE'!AX9+'REGIÓN 1 SAN JOSÉ SUR'!AX13+'REGION 2 ALAJUELA'!AX14+'REGION 3 CARTAGO'!AX15+'REGION 4 HEREDIA'!AX12+'REGION 5 CHOROTEGA'!AX14+'REGION 6 PAC CENTRAL'!AX11+'REGION 7 BRUNCA'!AX6+'REGION 8 HUETAR NORTE'!AX8+'REGION 9 HUETAR ATLANTICA'!AX7+'REGIÓN 10 BRUNCA SUR'!AX7+'REGION 11 CHOROTEGA NORTE'!AX5+'REGION 12 CARIBE'!AX7)</f>
        <v>0</v>
      </c>
      <c r="G13" s="29">
        <f t="shared" si="2"/>
        <v>0</v>
      </c>
      <c r="H13" s="16">
        <f t="shared" si="1"/>
        <v>-9800</v>
      </c>
      <c r="I13" s="16"/>
      <c r="J13" s="16"/>
    </row>
    <row r="14" spans="1:10" ht="107.25" customHeight="1" x14ac:dyDescent="0.25">
      <c r="A14" s="50" t="s">
        <v>107</v>
      </c>
      <c r="B14" s="32">
        <v>9800</v>
      </c>
      <c r="C14" s="30">
        <f>SUM('REGION 1 SAN JOSÉ CENTRAL'!AY13+'REGIÓN 1 SAN JOSÉ NORTE'!AY9+'REGIÓN 1 SAN JOSÉ SUR'!AY13+'REGION 2 ALAJUELA'!AY14+'REGION 3 CARTAGO'!AY15+'REGION 4 HEREDIA'!AY12+'REGION 5 CHOROTEGA'!AY14+'REGION 6 PAC CENTRAL'!AY11+'REGION 7 BRUNCA'!AY6+'REGION 8 HUETAR NORTE'!AY8+'REGION 9 HUETAR ATLANTICA'!AY7+'REGIÓN 10 BRUNCA SUR'!AY7+'REGION 11 CHOROTEGA NORTE'!AY5+'REGION 12 CARIBE'!AY7)</f>
        <v>0</v>
      </c>
      <c r="D14" s="30">
        <f>SUM('REGION 1 SAN JOSÉ CENTRAL'!AZ13+'REGIÓN 1 SAN JOSÉ NORTE'!AZ9+'REGIÓN 1 SAN JOSÉ SUR'!AZ13+'REGION 2 ALAJUELA'!AZ14+'REGION 3 CARTAGO'!AZ15+'REGION 4 HEREDIA'!AZ12+'REGION 5 CHOROTEGA'!AZ14+'REGION 6 PAC CENTRAL'!AZ11+'REGION 7 BRUNCA'!AZ6+'REGION 8 HUETAR NORTE'!AZ8+'REGION 9 HUETAR ATLANTICA'!AZ7+'REGIÓN 10 BRUNCA SUR'!AZ7+'REGION 11 CHOROTEGA NORTE'!AZ5+'REGION 12 CARIBE'!AZ7)</f>
        <v>0</v>
      </c>
      <c r="E14" s="30">
        <f>SUM('REGION 1 SAN JOSÉ CENTRAL'!BA13+'REGIÓN 1 SAN JOSÉ NORTE'!BA9+'REGIÓN 1 SAN JOSÉ SUR'!BA13+'REGION 2 ALAJUELA'!BA14+'REGION 3 CARTAGO'!BA15+'REGION 4 HEREDIA'!BA12+'REGION 5 CHOROTEGA'!BA14+'REGION 6 PAC CENTRAL'!BA11+'REGION 7 BRUNCA'!BA6+'REGION 8 HUETAR NORTE'!BA8+'REGION 9 HUETAR ATLANTICA'!BA7+'REGIÓN 10 BRUNCA SUR'!BA7+'REGION 11 CHOROTEGA NORTE'!BA5+'REGION 12 CARIBE'!BA7)</f>
        <v>0</v>
      </c>
      <c r="F14" s="30">
        <f>SUM('REGION 1 SAN JOSÉ CENTRAL'!BB13+'REGIÓN 1 SAN JOSÉ NORTE'!BB9+'REGIÓN 1 SAN JOSÉ SUR'!BB13+'REGION 2 ALAJUELA'!BB14+'REGION 3 CARTAGO'!BB15+'REGION 4 HEREDIA'!BB12+'REGION 5 CHOROTEGA'!BB14+'REGION 6 PAC CENTRAL'!BB11+'REGION 7 BRUNCA'!BB6+'REGION 8 HUETAR NORTE'!BB8+'REGION 9 HUETAR ATLANTICA'!BB7+'REGIÓN 10 BRUNCA SUR'!BB7+'REGION 11 CHOROTEGA NORTE'!BB5+'REGION 12 CARIBE'!BB7)</f>
        <v>0</v>
      </c>
      <c r="G14" s="29">
        <f t="shared" si="2"/>
        <v>0</v>
      </c>
      <c r="H14" s="16">
        <f t="shared" si="1"/>
        <v>-9800</v>
      </c>
      <c r="I14" s="16"/>
      <c r="J14" s="16"/>
    </row>
    <row r="15" spans="1:10" ht="107.25" customHeight="1" x14ac:dyDescent="0.25">
      <c r="A15" s="48" t="s">
        <v>212</v>
      </c>
      <c r="B15" s="32"/>
      <c r="C15" s="30" cm="1">
        <f t="array" ref="C15">SUM('REGION 1 SAN JOSÉ CENTRAL'!BC13+'REGIÓN 1 SAN JOSÉ NORTE'!BC9+'REGIÓN 1 SAN JOSÉ SUR'!BC13+'REGION 2 ALAJUELA'!BC14+'REGION 3 CARTAGO'!BC15+'REGION 4 HEREDIA'!BC12+'REGION 5 CHOROTEGA'!BC14+'REGION 6 PAC CENTRAL'!BC11+'REGION 7 BRUNCA'!BC6+'REGION 8 HUETAR NORTE'!BC8+'REGION 9 HUETAR ATLANTICA'!BC7+'REGIÓN 10 BRUNCA SUR'!BC7+'REGION 11 CHOROTEGA NORTE'!BC5+'REGION 12 CARIBE'!BC7:BC8)</f>
        <v>3</v>
      </c>
      <c r="D15" s="30" t="e" cm="1">
        <f t="array" ref="D15">SUM('REGION 1 SAN JOSÉ CENTRAL'!BD13+'REGIÓN 1 SAN JOSÉ NORTE'!BD9+'REGIÓN 1 SAN JOSÉ SUR'!BD13+'REGION 2 ALAJUELA'!BD14+'REGION 3 CARTAGO'!BD15+'REGION 4 HEREDIA'!BD12+'REGION 5 CHOROTEGA'!BD14+'REGION 6 PAC CENTRAL'!BD11+'REGION 7 BRUNCA'!BD6+'REGION 8 HUETAR NORTE'!BD8+'REGION 9 HUETAR ATLANTICA'!BD7+'REGIÓN 10 BRUNCA SUR'!BD7+'REGION 11 CHOROTEGA NORTE'!#REF!+'REGION 12 CARIBE'!BD7:BD8)</f>
        <v>#REF!</v>
      </c>
      <c r="E15" s="30" cm="1">
        <f t="array" ref="E15">SUM('REGION 1 SAN JOSÉ CENTRAL'!BE13+'REGIÓN 1 SAN JOSÉ NORTE'!BE9+'REGIÓN 1 SAN JOSÉ SUR'!BE13+'REGION 2 ALAJUELA'!BE14+'REGION 3 CARTAGO'!BE15+'REGION 4 HEREDIA'!BE12+'REGION 5 CHOROTEGA'!BE14+'REGION 6 PAC CENTRAL'!BE11+'REGION 7 BRUNCA'!BE6+'REGION 8 HUETAR NORTE'!BE8+'REGION 9 HUETAR ATLANTICA'!BE7+'REGIÓN 10 BRUNCA SUR'!BE7+'REGION 11 CHOROTEGA NORTE'!BE5+'REGION 12 CARIBE'!BE7:BE8)</f>
        <v>0</v>
      </c>
      <c r="F15" s="30" cm="1">
        <f t="array" ref="F15">SUM('REGION 1 SAN JOSÉ CENTRAL'!BF13+'REGIÓN 1 SAN JOSÉ NORTE'!BF9+'REGIÓN 1 SAN JOSÉ SUR'!BF13+'REGION 2 ALAJUELA'!BF14+'REGION 3 CARTAGO'!BF15+'REGION 4 HEREDIA'!BF12+'REGION 5 CHOROTEGA'!BF14+'REGION 6 PAC CENTRAL'!BF11+'REGION 7 BRUNCA'!BF6+'REGION 8 HUETAR NORTE'!BF8+'REGION 9 HUETAR ATLANTICA'!BF7+'REGIÓN 10 BRUNCA SUR'!BF7+'REGION 11 CHOROTEGA NORTE'!BF5+'REGION 12 CARIBE'!BF7:BF8)</f>
        <v>0</v>
      </c>
      <c r="G15" s="29" t="e">
        <f t="shared" si="2"/>
        <v>#REF!</v>
      </c>
      <c r="H15" s="90"/>
      <c r="I15" s="90"/>
      <c r="J15" s="90"/>
    </row>
    <row r="16" spans="1:10" ht="107.25" customHeight="1" x14ac:dyDescent="0.25">
      <c r="A16" s="94" t="s">
        <v>213</v>
      </c>
      <c r="B16" s="32"/>
      <c r="C16" s="30">
        <f>SUM('REGION 1 SAN JOSÉ CENTRAL'!BG13+'REGIÓN 1 SAN JOSÉ NORTE'!BG9+'REGIÓN 1 SAN JOSÉ SUR'!BG13+'REGION 2 ALAJUELA'!BG14+'REGION 3 CARTAGO'!BG15+'REGION 4 HEREDIA'!BG12+'REGION 5 CHOROTEGA'!BG14+'REGION 6 PAC CENTRAL'!BG11+'REGION 7 BRUNCA'!BG6+'REGION 8 HUETAR NORTE'!BG8+'REGION 9 HUETAR ATLANTICA'!BG7+'REGIÓN 10 BRUNCA SUR'!BG7+'REGION 11 CHOROTEGA NORTE'!BG5+'REGION 12 CARIBE'!BG7)</f>
        <v>1</v>
      </c>
      <c r="D16" s="30">
        <f>SUM('REGION 1 SAN JOSÉ CENTRAL'!BH13+'REGIÓN 1 SAN JOSÉ NORTE'!BH9+'REGIÓN 1 SAN JOSÉ SUR'!BH13+'REGION 2 ALAJUELA'!BH14+'REGION 3 CARTAGO'!BH15+'REGION 4 HEREDIA'!BH12+'REGION 5 CHOROTEGA'!BH14+'REGION 6 PAC CENTRAL'!BH11+'REGION 7 BRUNCA'!BH6+'REGION 8 HUETAR NORTE'!BH8+'REGION 9 HUETAR ATLANTICA'!BH7+'REGIÓN 10 BRUNCA SUR'!BH7+'REGION 11 CHOROTEGA NORTE'!BH5+'REGION 12 CARIBE'!BH7)</f>
        <v>9</v>
      </c>
      <c r="E16" s="30">
        <f>SUM('REGION 1 SAN JOSÉ CENTRAL'!BI13+'REGIÓN 1 SAN JOSÉ NORTE'!BI9+'REGIÓN 1 SAN JOSÉ SUR'!BI13+'REGION 2 ALAJUELA'!BI14+'REGION 3 CARTAGO'!BI15+'REGION 4 HEREDIA'!BI12+'REGION 5 CHOROTEGA'!BI14+'REGION 6 PAC CENTRAL'!BI11+'REGION 7 BRUNCA'!BI6+'REGION 8 HUETAR NORTE'!BI8+'REGION 9 HUETAR ATLANTICA'!BI7+'REGIÓN 10 BRUNCA SUR'!BI7+'REGION 11 CHOROTEGA NORTE'!BI5+'REGION 12 CARIBE'!BI7)</f>
        <v>0</v>
      </c>
      <c r="F16" s="30">
        <f>SUM('REGION 1 SAN JOSÉ CENTRAL'!BJ13+'REGIÓN 1 SAN JOSÉ NORTE'!BJ9+'REGIÓN 1 SAN JOSÉ SUR'!BJ13+'REGION 2 ALAJUELA'!BJ14+'REGION 3 CARTAGO'!BJ15+'REGION 4 HEREDIA'!BJ12+'REGION 5 CHOROTEGA'!BJ14+'REGION 6 PAC CENTRAL'!BJ11+'REGION 7 BRUNCA'!BJ6+'REGION 8 HUETAR NORTE'!BJ8+'REGION 9 HUETAR ATLANTICA'!BJ7+'REGIÓN 10 BRUNCA SUR'!BJ7+'REGION 11 CHOROTEGA NORTE'!BJ5+'REGION 12 CARIBE'!BJ7)</f>
        <v>0</v>
      </c>
      <c r="G16" s="29">
        <f t="shared" si="2"/>
        <v>10</v>
      </c>
      <c r="H16" s="90"/>
      <c r="I16" s="90"/>
      <c r="J16" s="90"/>
    </row>
    <row r="17" spans="1:10" ht="92.25" customHeight="1" x14ac:dyDescent="0.25">
      <c r="A17" s="26" t="s">
        <v>214</v>
      </c>
      <c r="B17" s="17">
        <v>0</v>
      </c>
      <c r="C17" s="51">
        <f>SUM('REGION 1 SAN JOSÉ CENTRAL'!BK13+'REGIÓN 1 SAN JOSÉ NORTE'!BK9+'REGIÓN 1 SAN JOSÉ SUR'!BK13+'REGION 2 ALAJUELA'!BK14+'REGION 3 CARTAGO'!BK15+'REGION 4 HEREDIA'!BK12+'REGION 5 CHOROTEGA'!BK14+'REGION 6 PAC CENTRAL'!BK11+'REGION 7 BRUNCA'!BK6+'REGION 8 HUETAR NORTE'!BK8+'REGION 9 HUETAR ATLANTICA'!BK7+'REGIÓN 10 BRUNCA SUR'!BK7+'REGION 11 CHOROTEGA NORTE'!BO5+'REGION 12 CARIBE'!BK7)</f>
        <v>126</v>
      </c>
      <c r="D17" s="51">
        <f>SUM('REGION 1 SAN JOSÉ CENTRAL'!BL13+'REGIÓN 1 SAN JOSÉ NORTE'!BL9+'REGIÓN 1 SAN JOSÉ SUR'!BL13+'REGION 2 ALAJUELA'!BL14+'REGION 3 CARTAGO'!BL15+'REGION 4 HEREDIA'!BL12+'REGION 5 CHOROTEGA'!BL14+'REGION 6 PAC CENTRAL'!BL11+'REGION 7 BRUNCA'!BL6+'REGION 8 HUETAR NORTE'!BL8+'REGION 9 HUETAR ATLANTICA'!BL7+'REGIÓN 10 BRUNCA SUR'!BL7+'REGION 11 CHOROTEGA NORTE'!BP5+'REGION 12 CARIBE'!BL7)</f>
        <v>170</v>
      </c>
      <c r="E17" s="51">
        <f>SUM('REGION 1 SAN JOSÉ CENTRAL'!BM13+'REGIÓN 1 SAN JOSÉ NORTE'!BM9+'REGIÓN 1 SAN JOSÉ SUR'!BM13+'REGION 2 ALAJUELA'!BM14+'REGION 3 CARTAGO'!BM15+'REGION 4 HEREDIA'!BM12+'REGION 5 CHOROTEGA'!BM14+'REGION 6 PAC CENTRAL'!BM11+'REGION 7 BRUNCA'!BM6+'REGION 8 HUETAR NORTE'!BM8+'REGION 9 HUETAR ATLANTICA'!BM7+'REGIÓN 10 BRUNCA SUR'!BM7+'REGION 11 CHOROTEGA NORTE'!BQ5+'REGION 12 CARIBE'!BM7)</f>
        <v>0</v>
      </c>
      <c r="F17" s="51">
        <f>SUM('REGION 1 SAN JOSÉ CENTRAL'!BN13+'REGIÓN 1 SAN JOSÉ NORTE'!BN9+'REGIÓN 1 SAN JOSÉ SUR'!BN13+'REGION 2 ALAJUELA'!BN14+'REGION 3 CARTAGO'!BN15+'REGION 4 HEREDIA'!BN12+'REGION 5 CHOROTEGA'!BN14+'REGION 6 PAC CENTRAL'!BN11+'REGION 7 BRUNCA'!BN6+'REGION 8 HUETAR NORTE'!BN8+'REGION 9 HUETAR ATLANTICA'!BN7+'REGIÓN 10 BRUNCA SUR'!BN7+'REGION 11 CHOROTEGA NORTE'!BR5+'REGION 12 CARIBE'!BN7)</f>
        <v>0</v>
      </c>
      <c r="G17" s="29">
        <f t="shared" si="2"/>
        <v>296</v>
      </c>
      <c r="H17" s="16"/>
      <c r="I17" s="16"/>
      <c r="J17" s="16"/>
    </row>
    <row r="18" spans="1:10" ht="87.75" customHeight="1" x14ac:dyDescent="0.25">
      <c r="A18" s="26" t="s">
        <v>215</v>
      </c>
      <c r="B18" s="17">
        <v>0</v>
      </c>
      <c r="C18" s="30">
        <f>SUM('REGION 1 SAN JOSÉ CENTRAL'!BG13+'REGIÓN 1 SAN JOSÉ NORTE'!BO9+'REGIÓN 1 SAN JOSÉ SUR'!BO13+'REGION 2 ALAJUELA'!BO14+'REGION 3 CARTAGO'!BO15+'REGION 4 HEREDIA'!BO12+'REGION 5 CHOROTEGA'!BO14+'REGION 6 PAC CENTRAL'!BO11+'REGION 7 BRUNCA'!BO6+'REGION 8 HUETAR NORTE'!BO8+'REGION 9 HUETAR ATLANTICA'!BO7+'REGIÓN 10 BRUNCA SUR'!BO7+'REGION 11 CHOROTEGA NORTE'!BO5+'REGION 12 CARIBE'!BO7)</f>
        <v>116</v>
      </c>
      <c r="D18" s="30">
        <f>SUM('REGION 1 SAN JOSÉ CENTRAL'!BH13+'REGIÓN 1 SAN JOSÉ NORTE'!BP9+'REGIÓN 1 SAN JOSÉ SUR'!BP13+'REGION 2 ALAJUELA'!BP14+'REGION 3 CARTAGO'!BP15+'REGION 4 HEREDIA'!BP12+'REGION 5 CHOROTEGA'!BP14+'REGION 6 PAC CENTRAL'!BP11+'REGION 7 BRUNCA'!BP6+'REGION 8 HUETAR NORTE'!BP8+'REGION 9 HUETAR ATLANTICA'!BP7+'REGIÓN 10 BRUNCA SUR'!BP7+'REGION 11 CHOROTEGA NORTE'!BP5+'REGION 12 CARIBE'!BP7)</f>
        <v>132</v>
      </c>
      <c r="E18" s="30">
        <f>SUM('REGION 1 SAN JOSÉ CENTRAL'!BI13+'REGIÓN 1 SAN JOSÉ NORTE'!BQ9+'REGIÓN 1 SAN JOSÉ SUR'!BQ13+'REGION 2 ALAJUELA'!BQ14+'REGION 3 CARTAGO'!BQ15+'REGION 4 HEREDIA'!BQ12+'REGION 5 CHOROTEGA'!BQ14+'REGION 6 PAC CENTRAL'!BQ11+'REGION 7 BRUNCA'!BQ6+'REGION 8 HUETAR NORTE'!BQ8+'REGION 9 HUETAR ATLANTICA'!BQ7+'REGIÓN 10 BRUNCA SUR'!BQ7+'REGION 11 CHOROTEGA NORTE'!BQ5+'REGION 12 CARIBE'!BQ7)</f>
        <v>0</v>
      </c>
      <c r="F18" s="30">
        <f>SUM('REGION 1 SAN JOSÉ CENTRAL'!BJ13+'REGIÓN 1 SAN JOSÉ NORTE'!BR9+'REGIÓN 1 SAN JOSÉ SUR'!BR13+'REGION 2 ALAJUELA'!BR14+'REGION 3 CARTAGO'!BR15+'REGION 4 HEREDIA'!BR12+'REGION 5 CHOROTEGA'!BR14+'REGION 6 PAC CENTRAL'!BR11+'REGION 7 BRUNCA'!BR6+'REGION 8 HUETAR NORTE'!BR8+'REGION 9 HUETAR ATLANTICA'!BR7+'REGIÓN 10 BRUNCA SUR'!BR7+'REGION 11 CHOROTEGA NORTE'!BR5+'REGION 12 CARIBE'!BR7)</f>
        <v>0</v>
      </c>
      <c r="G18" s="29">
        <f t="shared" si="2"/>
        <v>248</v>
      </c>
      <c r="H18" s="16"/>
      <c r="I18" s="16"/>
      <c r="J18" s="16"/>
    </row>
    <row r="19" spans="1:10" ht="90.75" customHeight="1" x14ac:dyDescent="0.25">
      <c r="A19" s="26" t="s">
        <v>216</v>
      </c>
      <c r="B19" s="17">
        <v>0</v>
      </c>
      <c r="C19" s="51">
        <f>SUM('REGION 1 SAN JOSÉ CENTRAL'!BS13+'REGIÓN 1 SAN JOSÉ NORTE'!BS9+'REGIÓN 1 SAN JOSÉ SUR'!BS13+'REGION 2 ALAJUELA'!BS14+'REGION 3 CARTAGO'!BS15+'REGION 4 HEREDIA'!BS12+'REGION 5 CHOROTEGA'!BS14+'REGION 6 PAC CENTRAL'!BS11+'REGION 7 BRUNCA'!BS6+'REGION 8 HUETAR NORTE'!BS8+'REGION 9 HUETAR ATLANTICA'!BS7+'REGIÓN 10 BRUNCA SUR'!BS7+'REGION 11 CHOROTEGA NORTE'!BS5+'REGION 12 CARIBE'!BS7)</f>
        <v>45</v>
      </c>
      <c r="D19" s="51">
        <f>SUM('REGION 1 SAN JOSÉ CENTRAL'!BT13+'REGIÓN 1 SAN JOSÉ NORTE'!BT9+'REGIÓN 1 SAN JOSÉ SUR'!BT13+'REGION 2 ALAJUELA'!BT14+'REGION 3 CARTAGO'!BT15+'REGION 4 HEREDIA'!BT12+'REGION 5 CHOROTEGA'!BT14+'REGION 6 PAC CENTRAL'!BT11+'REGION 7 BRUNCA'!BT6+'REGION 8 HUETAR NORTE'!BT8+'REGION 9 HUETAR ATLANTICA'!BT7+'REGIÓN 10 BRUNCA SUR'!BT7+'REGION 11 CHOROTEGA NORTE'!BT5+'REGION 12 CARIBE'!BT7)</f>
        <v>48</v>
      </c>
      <c r="E19" s="51">
        <f>SUM('REGION 1 SAN JOSÉ CENTRAL'!BU13+'REGIÓN 1 SAN JOSÉ NORTE'!BU9+'REGIÓN 1 SAN JOSÉ SUR'!BU13+'REGION 2 ALAJUELA'!BU14+'REGION 3 CARTAGO'!BU15+'REGION 4 HEREDIA'!BU12+'REGION 5 CHOROTEGA'!BU14+'REGION 6 PAC CENTRAL'!BU11+'REGION 7 BRUNCA'!BU6+'REGION 8 HUETAR NORTE'!BU8+'REGION 9 HUETAR ATLANTICA'!BU7+'REGIÓN 10 BRUNCA SUR'!BU7+'REGION 11 CHOROTEGA NORTE'!BU5+'REGION 12 CARIBE'!BU7)</f>
        <v>0</v>
      </c>
      <c r="F19" s="51">
        <f>SUM('REGION 1 SAN JOSÉ CENTRAL'!BV13+'REGIÓN 1 SAN JOSÉ NORTE'!BV9+'REGIÓN 1 SAN JOSÉ SUR'!BV13+'REGION 2 ALAJUELA'!BV14+'REGION 3 CARTAGO'!BV15+'REGION 4 HEREDIA'!BV12+'REGION 5 CHOROTEGA'!BV14+'REGION 6 PAC CENTRAL'!BV11+'REGION 7 BRUNCA'!BV6+'REGION 8 HUETAR NORTE'!BV8+'REGION 9 HUETAR ATLANTICA'!BV7+'REGIÓN 10 BRUNCA SUR'!BV7+'REGION 11 CHOROTEGA NORTE'!BV5+'REGION 12 CARIBE'!BV7)</f>
        <v>1</v>
      </c>
      <c r="G19" s="29">
        <f t="shared" si="2"/>
        <v>94</v>
      </c>
      <c r="H19" s="16"/>
      <c r="I19" s="16"/>
      <c r="J19" s="16"/>
    </row>
    <row r="20" spans="1:10" ht="94.5" customHeight="1" x14ac:dyDescent="0.25">
      <c r="A20" s="18" t="s">
        <v>217</v>
      </c>
      <c r="B20" s="20" t="s">
        <v>17</v>
      </c>
      <c r="C20" s="30">
        <v>21</v>
      </c>
      <c r="D20" s="30"/>
      <c r="E20" s="30"/>
      <c r="F20" s="30"/>
      <c r="G20" s="29">
        <f t="shared" si="2"/>
        <v>21</v>
      </c>
      <c r="H20" s="19"/>
      <c r="I20" s="19"/>
      <c r="J20" s="16"/>
    </row>
    <row r="21" spans="1:10" ht="84.75" customHeight="1" x14ac:dyDescent="0.25">
      <c r="A21" s="18" t="s">
        <v>218</v>
      </c>
      <c r="B21" s="20" t="s">
        <v>17</v>
      </c>
      <c r="C21" s="51"/>
      <c r="D21" s="51"/>
      <c r="E21" s="51"/>
      <c r="F21" s="51"/>
      <c r="G21" s="29">
        <f t="shared" si="2"/>
        <v>0</v>
      </c>
      <c r="H21" s="21"/>
      <c r="I21" s="19"/>
      <c r="J21" s="16"/>
    </row>
    <row r="22" spans="1:10" ht="88.5" customHeight="1" x14ac:dyDescent="0.25">
      <c r="A22" s="18" t="s">
        <v>219</v>
      </c>
      <c r="B22" s="20">
        <v>98</v>
      </c>
      <c r="C22" s="30"/>
      <c r="D22" s="30"/>
      <c r="E22" s="30"/>
      <c r="F22" s="30"/>
      <c r="G22" s="29">
        <f t="shared" si="2"/>
        <v>0</v>
      </c>
      <c r="H22" s="21"/>
      <c r="I22" s="19"/>
      <c r="J22" s="16"/>
    </row>
    <row r="23" spans="1:10" ht="48.75" customHeight="1" x14ac:dyDescent="0.25">
      <c r="E23" s="166" t="s">
        <v>18</v>
      </c>
      <c r="F23" s="166"/>
      <c r="G23" s="16" t="e">
        <f>SUM(G2:G22)</f>
        <v>#REF!</v>
      </c>
      <c r="H23" s="16"/>
      <c r="I23" s="16"/>
      <c r="J23" s="16"/>
    </row>
  </sheetData>
  <mergeCells count="1">
    <mergeCell ref="E23:F23"/>
  </mergeCells>
  <pageMargins left="0.7" right="0.7" top="0.75" bottom="0.75" header="0.3" footer="0.3"/>
  <pageSetup paperSize="9" orientation="portrait" r:id="rId1"/>
  <ignoredErrors>
    <ignoredError sqref="G22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19"/>
  <sheetViews>
    <sheetView topLeftCell="A6" workbookViewId="0">
      <selection activeCell="E9" sqref="E9"/>
    </sheetView>
  </sheetViews>
  <sheetFormatPr baseColWidth="10" defaultRowHeight="15" x14ac:dyDescent="0.25"/>
  <cols>
    <col min="1" max="1" width="79.7109375" customWidth="1"/>
    <col min="2" max="2" width="18.140625" customWidth="1"/>
    <col min="3" max="3" width="16.42578125" hidden="1" customWidth="1"/>
    <col min="4" max="6" width="15.28515625" style="11" customWidth="1"/>
    <col min="7" max="17" width="13" style="11" customWidth="1"/>
    <col min="18" max="18" width="11.5703125" style="11"/>
  </cols>
  <sheetData>
    <row r="1" spans="1:18" ht="51" x14ac:dyDescent="0.25">
      <c r="A1" s="11"/>
      <c r="B1" s="12" t="s">
        <v>16</v>
      </c>
      <c r="C1" s="22" t="s">
        <v>27</v>
      </c>
      <c r="D1" s="23" t="s">
        <v>33</v>
      </c>
      <c r="E1" s="23" t="s">
        <v>31</v>
      </c>
      <c r="F1" s="23" t="s">
        <v>32</v>
      </c>
      <c r="G1" s="22" t="s">
        <v>28</v>
      </c>
      <c r="H1" s="22" t="s">
        <v>29</v>
      </c>
      <c r="I1" s="22" t="s">
        <v>30</v>
      </c>
      <c r="J1" s="22" t="s">
        <v>19</v>
      </c>
      <c r="K1" s="22" t="s">
        <v>20</v>
      </c>
      <c r="L1" s="22" t="s">
        <v>21</v>
      </c>
      <c r="M1" s="22" t="s">
        <v>22</v>
      </c>
      <c r="N1" s="22" t="s">
        <v>23</v>
      </c>
      <c r="O1" s="22" t="s">
        <v>24</v>
      </c>
      <c r="P1" s="22" t="s">
        <v>25</v>
      </c>
      <c r="Q1" s="22" t="s">
        <v>26</v>
      </c>
      <c r="R1" s="24" t="s">
        <v>7</v>
      </c>
    </row>
    <row r="2" spans="1:18" ht="128.25" customHeight="1" x14ac:dyDescent="0.25">
      <c r="A2" s="31" t="s">
        <v>99</v>
      </c>
      <c r="B2" s="17">
        <v>9700</v>
      </c>
      <c r="C2" s="19">
        <f>SUM('REGION 1 SAN JOSÉ CENTRAL'!C4:F12)</f>
        <v>1414</v>
      </c>
      <c r="D2" s="19">
        <f>SUM('REGION 1 SAN JOSÉ CENTRAL'!C14)</f>
        <v>1414</v>
      </c>
      <c r="E2" s="51">
        <f>SUM('REGIÓN 1 SAN JOSÉ NORTE'!C10)</f>
        <v>770</v>
      </c>
      <c r="F2" s="51">
        <f>SUM('REGIÓN 1 SAN JOSÉ SUR'!C14)</f>
        <v>1794</v>
      </c>
      <c r="G2" s="51">
        <f>SUM('REGION 2 ALAJUELA'!C14)</f>
        <v>0</v>
      </c>
      <c r="H2" s="51">
        <f>SUM('REGION 3 CARTAGO'!C16)</f>
        <v>1669</v>
      </c>
      <c r="I2" s="51">
        <f>SUM('REGION 4 HEREDIA'!C13)</f>
        <v>1718</v>
      </c>
      <c r="J2" s="51">
        <f>SUM('REGION 5 CHOROTEGA'!C15)</f>
        <v>1453</v>
      </c>
      <c r="K2" s="51">
        <f>SUM('REGION 6 PAC CENTRAL'!C12)</f>
        <v>1280</v>
      </c>
      <c r="L2" s="51">
        <f>SUM('REGION 7 BRUNCA'!C7)</f>
        <v>515</v>
      </c>
      <c r="M2" s="51">
        <f>SUM('REGION 8 HUETAR NORTE'!C9)</f>
        <v>1001</v>
      </c>
      <c r="N2" s="51">
        <f>SUM('REGION 9 HUETAR ATLANTICA'!C8)</f>
        <v>607</v>
      </c>
      <c r="O2" s="51">
        <f>SUM('REGIÓN 10 BRUNCA SUR'!C7)</f>
        <v>0</v>
      </c>
      <c r="P2" s="51">
        <f>SUM('REGION 11 CHOROTEGA NORTE'!C6)</f>
        <v>0</v>
      </c>
      <c r="Q2" s="51">
        <f>SUM('REGION 12 CARIBE'!C8)</f>
        <v>521</v>
      </c>
      <c r="R2" s="25">
        <f>SUM(D2:Q2)</f>
        <v>12742</v>
      </c>
    </row>
    <row r="3" spans="1:18" ht="105.75" customHeight="1" x14ac:dyDescent="0.25">
      <c r="A3" s="33" t="s">
        <v>101</v>
      </c>
      <c r="B3" s="17">
        <v>2425</v>
      </c>
      <c r="C3" s="19"/>
      <c r="D3" s="19"/>
      <c r="E3" s="19"/>
      <c r="F3" s="19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25"/>
    </row>
    <row r="4" spans="1:18" ht="130.5" customHeight="1" x14ac:dyDescent="0.25">
      <c r="A4" s="31" t="s">
        <v>100</v>
      </c>
      <c r="B4" s="17">
        <v>7275</v>
      </c>
      <c r="C4" s="19"/>
      <c r="D4" s="19"/>
      <c r="E4" s="19"/>
      <c r="F4" s="19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25"/>
    </row>
    <row r="5" spans="1:18" ht="122.25" customHeight="1" x14ac:dyDescent="0.25">
      <c r="A5" s="33" t="s">
        <v>102</v>
      </c>
      <c r="B5" s="17">
        <v>990</v>
      </c>
      <c r="C5" s="19"/>
      <c r="D5" s="19"/>
      <c r="E5" s="19"/>
      <c r="F5" s="19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25"/>
    </row>
    <row r="6" spans="1:18" ht="104.25" customHeight="1" x14ac:dyDescent="0.25">
      <c r="A6" s="31" t="s">
        <v>108</v>
      </c>
      <c r="B6" s="32">
        <v>4850</v>
      </c>
      <c r="C6" s="19"/>
      <c r="D6" s="19"/>
      <c r="E6" s="19"/>
      <c r="F6" s="19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25"/>
    </row>
    <row r="7" spans="1:18" ht="117" customHeight="1" x14ac:dyDescent="0.25">
      <c r="A7" s="33" t="s">
        <v>109</v>
      </c>
      <c r="B7" s="32">
        <v>1455</v>
      </c>
      <c r="C7" s="19"/>
      <c r="D7" s="19"/>
      <c r="E7" s="19"/>
      <c r="F7" s="19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25"/>
    </row>
    <row r="8" spans="1:18" ht="127.5" customHeight="1" x14ac:dyDescent="0.25">
      <c r="A8" s="31" t="s">
        <v>105</v>
      </c>
      <c r="B8" s="32">
        <v>1455</v>
      </c>
      <c r="C8" s="19"/>
      <c r="D8" s="19"/>
      <c r="E8" s="19"/>
      <c r="F8" s="19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25"/>
    </row>
    <row r="9" spans="1:18" ht="93.75" customHeight="1" x14ac:dyDescent="0.25">
      <c r="A9" s="48" t="s">
        <v>61</v>
      </c>
      <c r="B9" s="52">
        <v>9800</v>
      </c>
      <c r="C9" s="19"/>
      <c r="D9" s="19">
        <f>SUM('REGION 1 SAN JOSÉ CENTRAL'!AE14)</f>
        <v>1315</v>
      </c>
      <c r="E9" s="19">
        <f>SUM('REGIÓN 1 SAN JOSÉ NORTE'!AE10)</f>
        <v>769</v>
      </c>
      <c r="F9" s="19">
        <f>SUM('REGIÓN 1 SAN JOSÉ SUR'!AE14)</f>
        <v>4142</v>
      </c>
      <c r="G9" s="16">
        <f>SUM('REGION 2 ALAJUELA'!AE15)</f>
        <v>2239</v>
      </c>
      <c r="H9" s="16">
        <f>SUM('REGION 3 CARTAGO'!AE16)</f>
        <v>1469</v>
      </c>
      <c r="I9" s="16">
        <f>SUM('REGION 4 HEREDIA'!AE13)</f>
        <v>3963</v>
      </c>
      <c r="J9" s="16">
        <f>SUM('REGION 5 CHOROTEGA'!AE15)</f>
        <v>5004</v>
      </c>
      <c r="K9" s="16">
        <f>SUM('REGION 6 PAC CENTRAL'!AE12)</f>
        <v>1238</v>
      </c>
      <c r="L9" s="16">
        <f>SUM('REGION 7 BRUNCA'!AE7)</f>
        <v>408</v>
      </c>
      <c r="M9" s="16">
        <f>SUM('REGION 8 HUETAR NORTE'!AE9)</f>
        <v>1272</v>
      </c>
      <c r="N9" s="16">
        <f>SUM('REGION 9 HUETAR ATLANTICA'!AE8)</f>
        <v>575</v>
      </c>
      <c r="O9" s="16">
        <f>SUM('REGIÓN 10 BRUNCA SUR'!AE8)</f>
        <v>981</v>
      </c>
      <c r="P9" s="16">
        <f>SUM('REGION 11 CHOROTEGA NORTE'!AE6)</f>
        <v>227</v>
      </c>
      <c r="Q9" s="16">
        <f>SUM('REGION 12 CARIBE'!AE8)</f>
        <v>810</v>
      </c>
      <c r="R9" s="25">
        <f>SUM(D9:Q9)</f>
        <v>24412</v>
      </c>
    </row>
    <row r="10" spans="1:18" ht="97.5" customHeight="1" x14ac:dyDescent="0.25">
      <c r="A10" s="50" t="s">
        <v>58</v>
      </c>
      <c r="B10" s="52">
        <v>9800</v>
      </c>
      <c r="C10" s="19"/>
      <c r="D10" s="19"/>
      <c r="E10" s="19"/>
      <c r="F10" s="19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5"/>
    </row>
    <row r="11" spans="1:18" ht="121.5" customHeight="1" x14ac:dyDescent="0.25">
      <c r="A11" s="48" t="s">
        <v>57</v>
      </c>
      <c r="B11" s="52">
        <v>9800</v>
      </c>
      <c r="C11" s="19"/>
      <c r="D11" s="19"/>
      <c r="E11" s="19"/>
      <c r="F11" s="19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25"/>
    </row>
    <row r="12" spans="1:18" ht="87.75" customHeight="1" x14ac:dyDescent="0.25">
      <c r="A12" s="50" t="s">
        <v>59</v>
      </c>
      <c r="B12" s="52">
        <v>9800</v>
      </c>
      <c r="C12" s="19"/>
      <c r="D12" s="19"/>
      <c r="E12" s="19"/>
      <c r="F12" s="19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25"/>
    </row>
    <row r="13" spans="1:18" ht="85.5" customHeight="1" x14ac:dyDescent="0.25">
      <c r="A13" s="48" t="s">
        <v>106</v>
      </c>
      <c r="B13" s="52">
        <v>9800</v>
      </c>
      <c r="C13" s="51"/>
      <c r="D13" s="51"/>
      <c r="E13" s="51"/>
      <c r="F13" s="51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53"/>
    </row>
    <row r="14" spans="1:18" ht="94.5" customHeight="1" x14ac:dyDescent="0.25">
      <c r="A14" s="50" t="s">
        <v>107</v>
      </c>
      <c r="B14" s="52">
        <v>9800</v>
      </c>
      <c r="C14" s="51"/>
      <c r="D14" s="51"/>
      <c r="E14" s="51"/>
      <c r="F14" s="51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53"/>
    </row>
    <row r="15" spans="1:18" ht="94.5" customHeight="1" x14ac:dyDescent="0.25">
      <c r="A15" s="72" t="s">
        <v>139</v>
      </c>
      <c r="B15" s="52"/>
      <c r="C15" s="81"/>
      <c r="D15" s="51"/>
      <c r="E15" s="51"/>
      <c r="F15" s="51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53"/>
    </row>
    <row r="16" spans="1:18" ht="94.5" customHeight="1" x14ac:dyDescent="0.25">
      <c r="A16" s="100" t="s">
        <v>220</v>
      </c>
      <c r="B16" s="52"/>
      <c r="C16" s="81"/>
      <c r="D16" s="51"/>
      <c r="E16" s="51"/>
      <c r="F16" s="51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53"/>
    </row>
    <row r="17" spans="1:18" ht="79.5" customHeight="1" x14ac:dyDescent="0.25">
      <c r="A17" s="54" t="s">
        <v>223</v>
      </c>
      <c r="B17" s="52">
        <v>0</v>
      </c>
      <c r="C17" s="51"/>
      <c r="D17" s="51">
        <f>SUM('REGION 1 SAN JOSÉ CENTRAL'!BK14)</f>
        <v>28</v>
      </c>
      <c r="E17" s="51">
        <f>SUM('REGIÓN 1 SAN JOSÉ NORTE'!BK10)</f>
        <v>17</v>
      </c>
      <c r="F17" s="51">
        <f>SUM('REGIÓN 1 SAN JOSÉ SUR'!BK14)</f>
        <v>33</v>
      </c>
      <c r="G17" s="49">
        <f>SUM('REGION 2 ALAJUELA'!BK15)</f>
        <v>25</v>
      </c>
      <c r="H17" s="49">
        <f>SUM('REGION 3 CARTAGO'!BK16)</f>
        <v>30</v>
      </c>
      <c r="I17" s="49">
        <f>SUM('REGION 4 HEREDIA'!BK13)</f>
        <v>35</v>
      </c>
      <c r="J17" s="49">
        <f>SUM('REGION 5 CHOROTEGA'!BK15)</f>
        <v>41</v>
      </c>
      <c r="K17" s="49">
        <f>SUM('REGION 6 PAC CENTRAL'!BK12)</f>
        <v>15</v>
      </c>
      <c r="L17" s="49">
        <f>SUM('REGION 7 BRUNCA'!BK7)</f>
        <v>15</v>
      </c>
      <c r="M17" s="49">
        <f>SUM('REGION 8 HUETAR NORTE'!BK9)</f>
        <v>15</v>
      </c>
      <c r="N17" s="49">
        <f>SUM('REGION 9 HUETAR ATLANTICA'!BK8)</f>
        <v>11</v>
      </c>
      <c r="O17" s="49">
        <f>SUM('REGIÓN 10 BRUNCA SUR'!BK8)</f>
        <v>19</v>
      </c>
      <c r="P17" s="49">
        <f>SUM('REGION 11 CHOROTEGA NORTE'!BK6)</f>
        <v>4</v>
      </c>
      <c r="Q17" s="49">
        <f>SUM('REGION 12 CARIBE'!BK8)</f>
        <v>7</v>
      </c>
      <c r="R17" s="53">
        <f>SUM(D17:Q17)</f>
        <v>295</v>
      </c>
    </row>
    <row r="18" spans="1:18" ht="47.25" x14ac:dyDescent="0.25">
      <c r="A18" s="54" t="s">
        <v>222</v>
      </c>
      <c r="B18" s="52">
        <v>0</v>
      </c>
      <c r="C18" s="51"/>
      <c r="D18" s="51"/>
      <c r="E18" s="51"/>
      <c r="F18" s="51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53"/>
    </row>
    <row r="19" spans="1:18" ht="63" x14ac:dyDescent="0.25">
      <c r="A19" s="67" t="s">
        <v>221</v>
      </c>
      <c r="B19" s="52">
        <v>0</v>
      </c>
      <c r="C19" s="51"/>
      <c r="D19" s="51"/>
      <c r="E19" s="51"/>
      <c r="F19" s="51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53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9"/>
  <sheetViews>
    <sheetView topLeftCell="A15" workbookViewId="0">
      <selection activeCell="F19" sqref="F19"/>
    </sheetView>
  </sheetViews>
  <sheetFormatPr baseColWidth="10" defaultRowHeight="15" x14ac:dyDescent="0.25"/>
  <cols>
    <col min="1" max="1" width="74.85546875" customWidth="1"/>
    <col min="2" max="2" width="16.42578125" hidden="1" customWidth="1"/>
    <col min="3" max="3" width="16.42578125" customWidth="1"/>
    <col min="4" max="4" width="19.85546875" style="11" customWidth="1"/>
    <col min="5" max="5" width="18.42578125" style="11" customWidth="1"/>
    <col min="6" max="7" width="19.85546875" style="11" customWidth="1"/>
    <col min="8" max="8" width="19.85546875" style="101" customWidth="1"/>
    <col min="9" max="17" width="19.85546875" style="11" customWidth="1"/>
  </cols>
  <sheetData>
    <row r="1" spans="1:17" ht="45" x14ac:dyDescent="0.25">
      <c r="A1" s="11"/>
      <c r="B1" s="75" t="s">
        <v>27</v>
      </c>
      <c r="C1" s="23" t="s">
        <v>225</v>
      </c>
      <c r="D1" s="23" t="s">
        <v>224</v>
      </c>
      <c r="E1" s="23" t="s">
        <v>231</v>
      </c>
      <c r="F1" s="23" t="s">
        <v>38</v>
      </c>
      <c r="G1" s="23" t="s">
        <v>42</v>
      </c>
      <c r="H1" s="23" t="s">
        <v>137</v>
      </c>
      <c r="I1" s="23" t="s">
        <v>125</v>
      </c>
      <c r="J1" s="23" t="s">
        <v>126</v>
      </c>
      <c r="K1" s="23" t="s">
        <v>226</v>
      </c>
      <c r="L1" s="23" t="s">
        <v>227</v>
      </c>
      <c r="M1" s="23" t="s">
        <v>228</v>
      </c>
      <c r="N1" s="23" t="s">
        <v>229</v>
      </c>
      <c r="O1" s="23" t="s">
        <v>47</v>
      </c>
      <c r="P1" s="23" t="s">
        <v>230</v>
      </c>
      <c r="Q1" s="76" t="s">
        <v>7</v>
      </c>
    </row>
    <row r="2" spans="1:17" ht="93" customHeight="1" x14ac:dyDescent="0.25">
      <c r="A2" s="68" t="s">
        <v>99</v>
      </c>
      <c r="B2" s="51">
        <f>SUM('REGION 1 SAN JOSÉ CENTRAL'!C4:F12)</f>
        <v>1414</v>
      </c>
      <c r="C2" s="103"/>
      <c r="D2" s="104"/>
      <c r="E2" s="104"/>
      <c r="F2" s="104"/>
      <c r="G2" s="105"/>
      <c r="H2" s="105"/>
      <c r="I2" s="104"/>
      <c r="J2" s="105"/>
      <c r="K2" s="105"/>
      <c r="L2" s="105"/>
      <c r="M2" s="105"/>
      <c r="N2" s="105"/>
      <c r="O2" s="105"/>
      <c r="P2" s="105"/>
      <c r="Q2" s="106">
        <f t="shared" ref="Q2:Q8" si="0">SUM(D2:P2)</f>
        <v>0</v>
      </c>
    </row>
    <row r="3" spans="1:17" ht="93" customHeight="1" x14ac:dyDescent="0.25">
      <c r="A3" s="33" t="s">
        <v>101</v>
      </c>
      <c r="B3" s="51"/>
      <c r="C3" s="103"/>
      <c r="D3" s="104"/>
      <c r="E3" s="104"/>
      <c r="F3" s="104"/>
      <c r="G3" s="105"/>
      <c r="H3" s="105"/>
      <c r="I3" s="104"/>
      <c r="J3" s="105"/>
      <c r="K3" s="105"/>
      <c r="L3" s="105"/>
      <c r="M3" s="105"/>
      <c r="N3" s="105"/>
      <c r="O3" s="105"/>
      <c r="P3" s="105"/>
      <c r="Q3" s="106">
        <f t="shared" si="0"/>
        <v>0</v>
      </c>
    </row>
    <row r="4" spans="1:17" ht="93" customHeight="1" x14ac:dyDescent="0.25">
      <c r="A4" s="68" t="s">
        <v>100</v>
      </c>
      <c r="B4" s="51"/>
      <c r="C4" s="103"/>
      <c r="D4" s="104"/>
      <c r="E4" s="104"/>
      <c r="F4" s="104"/>
      <c r="G4" s="105"/>
      <c r="H4" s="105"/>
      <c r="I4" s="104"/>
      <c r="J4" s="105"/>
      <c r="K4" s="105"/>
      <c r="L4" s="105"/>
      <c r="M4" s="105"/>
      <c r="N4" s="105"/>
      <c r="O4" s="105"/>
      <c r="P4" s="105"/>
      <c r="Q4" s="106">
        <f t="shared" si="0"/>
        <v>0</v>
      </c>
    </row>
    <row r="5" spans="1:17" ht="93" customHeight="1" x14ac:dyDescent="0.25">
      <c r="A5" s="33" t="s">
        <v>102</v>
      </c>
      <c r="B5" s="51"/>
      <c r="C5" s="103"/>
      <c r="D5" s="104"/>
      <c r="E5" s="104"/>
      <c r="F5" s="104"/>
      <c r="G5" s="105"/>
      <c r="H5" s="105"/>
      <c r="I5" s="104"/>
      <c r="J5" s="105"/>
      <c r="K5" s="105"/>
      <c r="L5" s="105"/>
      <c r="M5" s="105"/>
      <c r="N5" s="105"/>
      <c r="O5" s="105"/>
      <c r="P5" s="105"/>
      <c r="Q5" s="106">
        <f t="shared" si="0"/>
        <v>0</v>
      </c>
    </row>
    <row r="6" spans="1:17" ht="93" customHeight="1" x14ac:dyDescent="0.25">
      <c r="A6" s="68" t="s">
        <v>108</v>
      </c>
      <c r="B6" s="51"/>
      <c r="C6" s="103"/>
      <c r="D6" s="104"/>
      <c r="E6" s="104"/>
      <c r="F6" s="104"/>
      <c r="G6" s="105"/>
      <c r="H6" s="105"/>
      <c r="I6" s="104"/>
      <c r="J6" s="105"/>
      <c r="K6" s="105"/>
      <c r="L6" s="105"/>
      <c r="M6" s="105"/>
      <c r="N6" s="105"/>
      <c r="O6" s="105"/>
      <c r="P6" s="105"/>
      <c r="Q6" s="106">
        <f t="shared" si="0"/>
        <v>0</v>
      </c>
    </row>
    <row r="7" spans="1:17" ht="93" customHeight="1" x14ac:dyDescent="0.25">
      <c r="A7" s="33" t="s">
        <v>109</v>
      </c>
      <c r="B7" s="51"/>
      <c r="C7" s="103"/>
      <c r="D7" s="104"/>
      <c r="E7" s="104"/>
      <c r="F7" s="104"/>
      <c r="G7" s="105"/>
      <c r="H7" s="105"/>
      <c r="I7" s="104"/>
      <c r="J7" s="105"/>
      <c r="K7" s="105"/>
      <c r="L7" s="105"/>
      <c r="M7" s="105"/>
      <c r="N7" s="105"/>
      <c r="O7" s="105"/>
      <c r="P7" s="105"/>
      <c r="Q7" s="106">
        <f t="shared" si="0"/>
        <v>0</v>
      </c>
    </row>
    <row r="8" spans="1:17" ht="93" customHeight="1" x14ac:dyDescent="0.25">
      <c r="A8" s="68" t="s">
        <v>105</v>
      </c>
      <c r="B8" s="51"/>
      <c r="C8" s="103"/>
      <c r="D8" s="104"/>
      <c r="E8" s="104"/>
      <c r="F8" s="104"/>
      <c r="G8" s="105"/>
      <c r="H8" s="105"/>
      <c r="I8" s="104"/>
      <c r="J8" s="105"/>
      <c r="K8" s="105"/>
      <c r="L8" s="105"/>
      <c r="M8" s="105"/>
      <c r="N8" s="105"/>
      <c r="O8" s="105"/>
      <c r="P8" s="105"/>
      <c r="Q8" s="106">
        <f t="shared" si="0"/>
        <v>0</v>
      </c>
    </row>
    <row r="9" spans="1:17" ht="93" customHeight="1" x14ac:dyDescent="0.25">
      <c r="A9" s="48" t="s">
        <v>61</v>
      </c>
      <c r="B9" s="51"/>
      <c r="C9" s="103">
        <f>SUM('REGIÓN 1 SAN JOSÉ NORTE'!AE5)</f>
        <v>129</v>
      </c>
      <c r="D9" s="104">
        <f>SUM('REGIÓN 1 SAN JOSÉ SUR'!AE3)</f>
        <v>223</v>
      </c>
      <c r="E9" s="104">
        <f>SUM('REGION 1 SAN JOSÉ CENTRAL'!AE9)</f>
        <v>176</v>
      </c>
      <c r="F9" s="104">
        <f>SUM('REGIÓN 1 SAN JOSÉ SUR'!AE4)</f>
        <v>194</v>
      </c>
      <c r="G9" s="105">
        <f>SUM('REGIÓN 1 SAN JOSÉ SUR'!AE10)</f>
        <v>2273</v>
      </c>
      <c r="H9" s="105">
        <f>SUM('REGION 2 ALAJUELA'!AE4)</f>
        <v>345</v>
      </c>
      <c r="I9" s="104">
        <f>SUM('REGION 2 ALAJUELA'!AE3)</f>
        <v>0</v>
      </c>
      <c r="J9" s="105">
        <f>SUM('REGION 2 ALAJUELA'!AE10)</f>
        <v>258</v>
      </c>
      <c r="K9" s="105">
        <f>SUM('REGION 2 ALAJUELA'!AE12)</f>
        <v>323</v>
      </c>
      <c r="L9" s="105">
        <f>SUM('REGION 3 CARTAGO'!AE3)</f>
        <v>100</v>
      </c>
      <c r="M9" s="105">
        <f>SUM('REGION 3 CARTAGO'!AE7)</f>
        <v>100</v>
      </c>
      <c r="N9" s="105">
        <f>SUM('REGION 3 CARTAGO'!AE13)</f>
        <v>187</v>
      </c>
      <c r="O9" s="105">
        <f>SUM('REGION 4 HEREDIA'!AE3)</f>
        <v>544</v>
      </c>
      <c r="P9" s="105">
        <f>SUM('REGION 4 HEREDIA'!AE4)</f>
        <v>100</v>
      </c>
      <c r="Q9" s="106">
        <f>SUM(C9:P9)</f>
        <v>4952</v>
      </c>
    </row>
    <row r="10" spans="1:17" ht="93" customHeight="1" x14ac:dyDescent="0.25">
      <c r="A10" s="50" t="s">
        <v>58</v>
      </c>
      <c r="B10" s="51"/>
      <c r="C10" s="103"/>
      <c r="D10" s="104"/>
      <c r="E10" s="104"/>
      <c r="F10" s="104"/>
      <c r="G10" s="105"/>
      <c r="H10" s="105"/>
      <c r="I10" s="104"/>
      <c r="J10" s="105"/>
      <c r="K10" s="105"/>
      <c r="L10" s="105"/>
      <c r="M10" s="105"/>
      <c r="N10" s="105"/>
      <c r="O10" s="105"/>
      <c r="P10" s="105"/>
      <c r="Q10" s="106">
        <f t="shared" ref="Q10:Q19" si="1">SUM(D10:P10)</f>
        <v>0</v>
      </c>
    </row>
    <row r="11" spans="1:17" ht="93" customHeight="1" x14ac:dyDescent="0.25">
      <c r="A11" s="48" t="s">
        <v>57</v>
      </c>
      <c r="B11" s="102"/>
      <c r="C11" s="103"/>
      <c r="D11" s="104"/>
      <c r="E11" s="104"/>
      <c r="F11" s="104"/>
      <c r="G11" s="105"/>
      <c r="H11" s="105"/>
      <c r="I11" s="104"/>
      <c r="J11" s="105"/>
      <c r="K11" s="105"/>
      <c r="L11" s="105"/>
      <c r="M11" s="105"/>
      <c r="N11" s="105"/>
      <c r="O11" s="105"/>
      <c r="P11" s="105"/>
      <c r="Q11" s="106">
        <f t="shared" si="1"/>
        <v>0</v>
      </c>
    </row>
    <row r="12" spans="1:17" ht="93" customHeight="1" x14ac:dyDescent="0.25">
      <c r="A12" s="50" t="s">
        <v>59</v>
      </c>
      <c r="C12" s="103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6">
        <f t="shared" si="1"/>
        <v>0</v>
      </c>
    </row>
    <row r="13" spans="1:17" ht="93" customHeight="1" x14ac:dyDescent="0.25">
      <c r="A13" s="48" t="s">
        <v>106</v>
      </c>
      <c r="C13" s="103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6">
        <f t="shared" si="1"/>
        <v>0</v>
      </c>
    </row>
    <row r="14" spans="1:17" ht="93" customHeight="1" x14ac:dyDescent="0.25">
      <c r="A14" s="50" t="s">
        <v>107</v>
      </c>
      <c r="C14" s="103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6">
        <f t="shared" si="1"/>
        <v>0</v>
      </c>
    </row>
    <row r="15" spans="1:17" ht="93" customHeight="1" x14ac:dyDescent="0.25">
      <c r="A15" s="48" t="s">
        <v>212</v>
      </c>
      <c r="C15" s="103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6">
        <f t="shared" si="1"/>
        <v>0</v>
      </c>
    </row>
    <row r="16" spans="1:17" ht="93" customHeight="1" x14ac:dyDescent="0.25">
      <c r="A16" s="94" t="s">
        <v>213</v>
      </c>
      <c r="C16" s="103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6">
        <f t="shared" si="1"/>
        <v>0</v>
      </c>
    </row>
    <row r="17" spans="1:17" ht="93" customHeight="1" x14ac:dyDescent="0.25">
      <c r="A17" s="67" t="s">
        <v>214</v>
      </c>
      <c r="C17" s="103">
        <f>SUM('REGIÓN 1 SAN JOSÉ NORTE'!BK5)</f>
        <v>2</v>
      </c>
      <c r="D17" s="105">
        <f>SUM('REGION 1 SAN JOSÉ CENTRAL'!BK6)</f>
        <v>3</v>
      </c>
      <c r="E17" s="105">
        <f>SUM('REGION 1 SAN JOSÉ CENTRAL'!BK9)</f>
        <v>0</v>
      </c>
      <c r="F17" s="105">
        <f>SUM('REGIÓN 1 SAN JOSÉ SUR'!BK7)</f>
        <v>2</v>
      </c>
      <c r="G17" s="105">
        <f>SUM('REGION 4 HEREDIA'!BK3)</f>
        <v>3</v>
      </c>
      <c r="H17" s="105">
        <f>SUM('REGION 5 CHOROTEGA'!BK3)</f>
        <v>3</v>
      </c>
      <c r="I17" s="105">
        <f>SUM('REGION 5 CHOROTEGA'!BK4)</f>
        <v>2</v>
      </c>
      <c r="J17" s="105">
        <f>SUM('REGION 6 PAC CENTRAL'!BK3)</f>
        <v>1</v>
      </c>
      <c r="K17" s="105">
        <f>SUM('REGION 6 PAC CENTRAL'!BK8)</f>
        <v>1</v>
      </c>
      <c r="L17" s="105">
        <f>SUM('REGION 6 PAC CENTRAL'!BK7)</f>
        <v>0</v>
      </c>
      <c r="M17" s="105">
        <f>SUM('REGION 6 PAC CENTRAL'!BK6)</f>
        <v>1</v>
      </c>
      <c r="N17" s="105">
        <f>SUM('REGION 9 HUETAR ATLANTICA'!BK3)</f>
        <v>1</v>
      </c>
      <c r="O17" s="105">
        <f>SUM('REGION 9 HUETAR ATLANTICA'!BK6)</f>
        <v>0</v>
      </c>
      <c r="P17" s="105">
        <f>SUM('REGION 12 CARIBE'!BK6)</f>
        <v>0</v>
      </c>
      <c r="Q17" s="106">
        <f t="shared" si="1"/>
        <v>17</v>
      </c>
    </row>
    <row r="18" spans="1:17" ht="93" customHeight="1" x14ac:dyDescent="0.25">
      <c r="A18" s="67" t="s">
        <v>215</v>
      </c>
      <c r="C18" s="103">
        <f>SUM('REGIÓN 1 SAN JOSÉ NORTE'!BO5)</f>
        <v>0</v>
      </c>
      <c r="D18" s="105">
        <f>SUM('REGION 1 SAN JOSÉ CENTRAL'!BO6)</f>
        <v>1</v>
      </c>
      <c r="E18" s="105">
        <f>SUM('REGION 1 SAN JOSÉ CENTRAL'!BO9)</f>
        <v>2</v>
      </c>
      <c r="F18" s="105">
        <f>SUM('REGIÓN 1 SAN JOSÉ SUR'!BO7)</f>
        <v>2</v>
      </c>
      <c r="G18" s="105">
        <f>SUM('REGION 4 HEREDIA'!BO3)</f>
        <v>2</v>
      </c>
      <c r="H18" s="105">
        <f>SUM('REGION 5 CHOROTEGA'!BO3)</f>
        <v>2</v>
      </c>
      <c r="I18" s="105">
        <f>SUM('REGION 5 CHOROTEGA'!BO4)</f>
        <v>2</v>
      </c>
      <c r="J18" s="105">
        <f>SUM('REGION 6 PAC CENTRAL'!BO3)</f>
        <v>2</v>
      </c>
      <c r="K18" s="105">
        <f>SUM('REGION 6 PAC CENTRAL'!BO8)</f>
        <v>1</v>
      </c>
      <c r="L18" s="105">
        <f>SUM('REGION 6 PAC CENTRAL'!BO7)</f>
        <v>1</v>
      </c>
      <c r="M18" s="105">
        <f>SUM('REGION 6 PAC CENTRAL'!BO6)</f>
        <v>0</v>
      </c>
      <c r="N18" s="105">
        <f>SUM('REGION 9 HUETAR ATLANTICA'!BO3)</f>
        <v>2</v>
      </c>
      <c r="O18" s="105">
        <f>SUM('REGION 9 HUETAR ATLANTICA'!BO6)</f>
        <v>3</v>
      </c>
      <c r="P18" s="105">
        <f>SUM('REGION 12 CARIBE'!BO6)</f>
        <v>0</v>
      </c>
      <c r="Q18" s="106">
        <f t="shared" si="1"/>
        <v>20</v>
      </c>
    </row>
    <row r="19" spans="1:17" ht="93" customHeight="1" x14ac:dyDescent="0.25">
      <c r="A19" s="67" t="s">
        <v>216</v>
      </c>
      <c r="C19" s="103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>
        <f t="shared" si="1"/>
        <v>0</v>
      </c>
    </row>
  </sheetData>
  <pageMargins left="0.7" right="0.7" top="0.75" bottom="0.75" header="0.3" footer="0.3"/>
  <ignoredErrors>
    <ignoredError sqref="Q9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99"/>
  </sheetPr>
  <dimension ref="A1:AG19"/>
  <sheetViews>
    <sheetView topLeftCell="U6" workbookViewId="0">
      <selection activeCell="AG9" sqref="AG9"/>
    </sheetView>
  </sheetViews>
  <sheetFormatPr baseColWidth="10" defaultRowHeight="15" x14ac:dyDescent="0.25"/>
  <cols>
    <col min="1" max="1" width="74.85546875" customWidth="1"/>
    <col min="2" max="2" width="16.42578125" hidden="1" customWidth="1"/>
    <col min="3" max="5" width="19.85546875" style="11" customWidth="1"/>
    <col min="6" max="6" width="19.85546875" style="101" customWidth="1"/>
    <col min="7" max="33" width="19.85546875" style="11" customWidth="1"/>
  </cols>
  <sheetData>
    <row r="1" spans="1:33" ht="60" x14ac:dyDescent="0.25">
      <c r="A1" s="11"/>
      <c r="B1" s="75" t="s">
        <v>27</v>
      </c>
      <c r="C1" s="23" t="s">
        <v>113</v>
      </c>
      <c r="D1" s="23" t="s">
        <v>114</v>
      </c>
      <c r="E1" s="23" t="s">
        <v>115</v>
      </c>
      <c r="F1" s="23" t="s">
        <v>116</v>
      </c>
      <c r="G1" s="23" t="s">
        <v>117</v>
      </c>
      <c r="H1" s="23" t="s">
        <v>118</v>
      </c>
      <c r="I1" s="23" t="s">
        <v>119</v>
      </c>
      <c r="J1" s="23" t="s">
        <v>120</v>
      </c>
      <c r="K1" s="23" t="s">
        <v>121</v>
      </c>
      <c r="L1" s="23" t="s">
        <v>41</v>
      </c>
      <c r="M1" s="23" t="s">
        <v>42</v>
      </c>
      <c r="N1" s="23" t="s">
        <v>122</v>
      </c>
      <c r="O1" s="23" t="s">
        <v>137</v>
      </c>
      <c r="P1" s="23" t="s">
        <v>123</v>
      </c>
      <c r="Q1" s="23" t="s">
        <v>124</v>
      </c>
      <c r="R1" s="23" t="s">
        <v>125</v>
      </c>
      <c r="S1" s="23" t="s">
        <v>126</v>
      </c>
      <c r="T1" s="23" t="s">
        <v>135</v>
      </c>
      <c r="U1" s="23" t="s">
        <v>136</v>
      </c>
      <c r="V1" s="23" t="s">
        <v>127</v>
      </c>
      <c r="W1" s="23" t="s">
        <v>128</v>
      </c>
      <c r="X1" s="23" t="s">
        <v>129</v>
      </c>
      <c r="Y1" s="23" t="s">
        <v>130</v>
      </c>
      <c r="Z1" s="23" t="s">
        <v>131</v>
      </c>
      <c r="AA1" s="23" t="s">
        <v>132</v>
      </c>
      <c r="AB1" s="23" t="s">
        <v>133</v>
      </c>
      <c r="AC1" s="23" t="s">
        <v>138</v>
      </c>
      <c r="AD1" s="23" t="s">
        <v>134</v>
      </c>
      <c r="AE1" s="23" t="s">
        <v>50</v>
      </c>
      <c r="AF1" s="23" t="s">
        <v>52</v>
      </c>
      <c r="AG1" s="76" t="s">
        <v>7</v>
      </c>
    </row>
    <row r="2" spans="1:33" ht="93" customHeight="1" x14ac:dyDescent="0.25">
      <c r="A2" s="68" t="s">
        <v>99</v>
      </c>
      <c r="B2" s="51">
        <f>SUM('REGION 1 SAN JOSÉ CENTRAL'!C4:F12)</f>
        <v>1414</v>
      </c>
      <c r="C2" s="104"/>
      <c r="D2" s="104"/>
      <c r="E2" s="105"/>
      <c r="F2" s="105"/>
      <c r="G2" s="104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6">
        <f t="shared" ref="AG2:AG17" si="0">SUM(C2:AF2)</f>
        <v>0</v>
      </c>
    </row>
    <row r="3" spans="1:33" ht="93" customHeight="1" x14ac:dyDescent="0.25">
      <c r="A3" s="33" t="s">
        <v>101</v>
      </c>
      <c r="B3" s="51"/>
      <c r="C3" s="104"/>
      <c r="D3" s="104"/>
      <c r="E3" s="105"/>
      <c r="F3" s="10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6">
        <f t="shared" si="0"/>
        <v>0</v>
      </c>
    </row>
    <row r="4" spans="1:33" ht="93" customHeight="1" x14ac:dyDescent="0.25">
      <c r="A4" s="68" t="s">
        <v>100</v>
      </c>
      <c r="B4" s="51"/>
      <c r="C4" s="104"/>
      <c r="D4" s="104"/>
      <c r="E4" s="105"/>
      <c r="F4" s="10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6">
        <f t="shared" si="0"/>
        <v>0</v>
      </c>
    </row>
    <row r="5" spans="1:33" ht="93" customHeight="1" x14ac:dyDescent="0.25">
      <c r="A5" s="33" t="s">
        <v>102</v>
      </c>
      <c r="B5" s="51"/>
      <c r="C5" s="104"/>
      <c r="D5" s="104"/>
      <c r="E5" s="105"/>
      <c r="F5" s="105"/>
      <c r="G5" s="104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6">
        <f t="shared" si="0"/>
        <v>0</v>
      </c>
    </row>
    <row r="6" spans="1:33" ht="93" customHeight="1" x14ac:dyDescent="0.25">
      <c r="A6" s="68" t="s">
        <v>108</v>
      </c>
      <c r="B6" s="51"/>
      <c r="C6" s="104"/>
      <c r="D6" s="104"/>
      <c r="E6" s="105"/>
      <c r="F6" s="105"/>
      <c r="G6" s="104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6">
        <f t="shared" si="0"/>
        <v>0</v>
      </c>
    </row>
    <row r="7" spans="1:33" ht="93" customHeight="1" x14ac:dyDescent="0.25">
      <c r="A7" s="33" t="s">
        <v>109</v>
      </c>
      <c r="B7" s="51"/>
      <c r="C7" s="104"/>
      <c r="D7" s="104"/>
      <c r="E7" s="105"/>
      <c r="F7" s="105"/>
      <c r="G7" s="104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6">
        <f t="shared" si="0"/>
        <v>0</v>
      </c>
    </row>
    <row r="8" spans="1:33" ht="93" customHeight="1" x14ac:dyDescent="0.25">
      <c r="A8" s="68" t="s">
        <v>105</v>
      </c>
      <c r="B8" s="51"/>
      <c r="C8" s="104"/>
      <c r="D8" s="104"/>
      <c r="E8" s="105"/>
      <c r="F8" s="105"/>
      <c r="G8" s="104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6">
        <f t="shared" si="0"/>
        <v>0</v>
      </c>
    </row>
    <row r="9" spans="1:33" ht="93" customHeight="1" x14ac:dyDescent="0.25">
      <c r="A9" s="48" t="s">
        <v>61</v>
      </c>
      <c r="B9" s="51"/>
      <c r="C9" s="104">
        <f>SUM('REGIÓN 1 SAN JOSÉ SUR'!AE3)</f>
        <v>223</v>
      </c>
      <c r="D9" s="104">
        <f>SUM('REGIÓN 1 SAN JOSÉ SUR'!AE4)</f>
        <v>194</v>
      </c>
      <c r="E9" s="105">
        <f>SUM('REGIÓN 1 SAN JOSÉ SUR'!AE10)</f>
        <v>2273</v>
      </c>
      <c r="F9" s="105">
        <f>SUM('REGION 2 ALAJUELA'!AE4)</f>
        <v>345</v>
      </c>
      <c r="G9" s="104">
        <f>SUM('REGION 2 ALAJUELA'!AE3)</f>
        <v>0</v>
      </c>
      <c r="H9" s="105">
        <f>SUM('REGION 2 ALAJUELA'!AE10)</f>
        <v>258</v>
      </c>
      <c r="I9" s="105">
        <f>SUM('REGION 2 ALAJUELA'!AE12)</f>
        <v>323</v>
      </c>
      <c r="J9" s="105">
        <f>SUM('REGION 3 CARTAGO'!AE3)</f>
        <v>100</v>
      </c>
      <c r="K9" s="105">
        <f>SUM('REGION 3 CARTAGO'!AE7)</f>
        <v>100</v>
      </c>
      <c r="L9" s="105">
        <f>SUM('REGION 3 CARTAGO'!AE13)</f>
        <v>187</v>
      </c>
      <c r="M9" s="105">
        <f>SUM('REGION 4 HEREDIA'!AE3)</f>
        <v>544</v>
      </c>
      <c r="N9" s="105">
        <f>SUM('REGION 4 HEREDIA'!AE4)</f>
        <v>100</v>
      </c>
      <c r="O9" s="105">
        <f>SUM('REGION 5 CHOROTEGA'!AE3)</f>
        <v>1560</v>
      </c>
      <c r="P9" s="105">
        <f>SUM('REGION 5 CHOROTEGA'!AE5)</f>
        <v>476</v>
      </c>
      <c r="Q9" s="105">
        <f>SUM('REGION 5 CHOROTEGA'!AE8)</f>
        <v>500</v>
      </c>
      <c r="R9" s="105">
        <f>SUM('REGION 5 CHOROTEGA'!AE4)</f>
        <v>995</v>
      </c>
      <c r="S9" s="105">
        <f>SUM('REGION 6 PAC CENTRAL'!AE3)</f>
        <v>301</v>
      </c>
      <c r="T9" s="105">
        <f>SUM('REGION 6 PAC CENTRAL'!AE4)</f>
        <v>119</v>
      </c>
      <c r="U9" s="105">
        <f>SUM('REGION 6 PAC CENTRAL'!AE8)</f>
        <v>135</v>
      </c>
      <c r="V9" s="105">
        <f>SUM('REGION 7 BRUNCA'!AE3)</f>
        <v>150</v>
      </c>
      <c r="W9" s="105">
        <f>SUM('REGION 7 BRUNCA'!AE4)</f>
        <v>110</v>
      </c>
      <c r="X9" s="105">
        <f>SUM('REGION 7 BRUNCA'!AE5)</f>
        <v>148</v>
      </c>
      <c r="Y9" s="105">
        <f>SUM('REGION 8 HUETAR NORTE'!AE3)</f>
        <v>200</v>
      </c>
      <c r="Z9" s="105">
        <f>SUM('REGION 8 HUETAR NORTE'!AE4)</f>
        <v>254</v>
      </c>
      <c r="AA9" s="105">
        <f>SUM('REGION 9 HUETAR ATLANTICA'!AE3)</f>
        <v>130</v>
      </c>
      <c r="AB9" s="105">
        <f>SUM('REGIÓN 10 BRUNCA SUR'!AE5)</f>
        <v>100</v>
      </c>
      <c r="AC9" s="105">
        <f>SUM('REGIÓN 10 BRUNCA SUR'!AE4)</f>
        <v>267</v>
      </c>
      <c r="AD9" s="105">
        <f>SUM('REGION 11 CHOROTEGA NORTE'!AE3)</f>
        <v>100</v>
      </c>
      <c r="AE9" s="105">
        <f>SUM('REGION 11 CHOROTEGA NORTE'!AE4)</f>
        <v>127</v>
      </c>
      <c r="AF9" s="105">
        <f>SUM('REGION 12 CARIBE'!AE3)</f>
        <v>114</v>
      </c>
      <c r="AG9" s="106">
        <f t="shared" si="0"/>
        <v>10433</v>
      </c>
    </row>
    <row r="10" spans="1:33" ht="93" customHeight="1" x14ac:dyDescent="0.25">
      <c r="A10" s="50" t="s">
        <v>58</v>
      </c>
      <c r="B10" s="51"/>
      <c r="C10" s="104"/>
      <c r="D10" s="104"/>
      <c r="E10" s="105"/>
      <c r="F10" s="105"/>
      <c r="G10" s="104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6">
        <f t="shared" si="0"/>
        <v>0</v>
      </c>
    </row>
    <row r="11" spans="1:33" ht="93" customHeight="1" x14ac:dyDescent="0.25">
      <c r="A11" s="48" t="s">
        <v>57</v>
      </c>
      <c r="B11" s="51"/>
      <c r="C11" s="104"/>
      <c r="D11" s="104"/>
      <c r="E11" s="105"/>
      <c r="F11" s="105"/>
      <c r="G11" s="104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6">
        <f t="shared" si="0"/>
        <v>0</v>
      </c>
    </row>
    <row r="12" spans="1:33" ht="93" customHeight="1" x14ac:dyDescent="0.25">
      <c r="A12" s="50" t="s">
        <v>59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6">
        <f t="shared" si="0"/>
        <v>0</v>
      </c>
    </row>
    <row r="13" spans="1:33" ht="93" customHeight="1" x14ac:dyDescent="0.25">
      <c r="A13" s="48" t="s">
        <v>106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6">
        <f t="shared" si="0"/>
        <v>0</v>
      </c>
    </row>
    <row r="14" spans="1:33" ht="93" customHeight="1" x14ac:dyDescent="0.25">
      <c r="A14" s="50" t="s">
        <v>107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6">
        <f t="shared" si="0"/>
        <v>0</v>
      </c>
    </row>
    <row r="15" spans="1:33" ht="93" customHeight="1" x14ac:dyDescent="0.25">
      <c r="A15" s="48" t="s">
        <v>212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6">
        <f t="shared" ref="AG15:AG16" si="1">SUM(C15:AF15)</f>
        <v>0</v>
      </c>
    </row>
    <row r="16" spans="1:33" ht="93" customHeight="1" x14ac:dyDescent="0.25">
      <c r="A16" s="94" t="s">
        <v>213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6">
        <f t="shared" si="1"/>
        <v>0</v>
      </c>
    </row>
    <row r="17" spans="1:33" ht="93" customHeight="1" x14ac:dyDescent="0.25">
      <c r="A17" s="67" t="s">
        <v>214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6">
        <f t="shared" si="0"/>
        <v>0</v>
      </c>
    </row>
    <row r="18" spans="1:33" ht="93" customHeight="1" x14ac:dyDescent="0.25">
      <c r="A18" s="67" t="s">
        <v>215</v>
      </c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6">
        <f t="shared" ref="AG18:AG19" si="2">SUM(C18:AF18)</f>
        <v>0</v>
      </c>
    </row>
    <row r="19" spans="1:33" ht="93" customHeight="1" x14ac:dyDescent="0.25">
      <c r="A19" s="67" t="s">
        <v>216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6">
        <f t="shared" si="2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V12"/>
  <sheetViews>
    <sheetView workbookViewId="0">
      <selection activeCell="G2" sqref="G2"/>
    </sheetView>
  </sheetViews>
  <sheetFormatPr baseColWidth="10" defaultRowHeight="15" x14ac:dyDescent="0.25"/>
  <cols>
    <col min="1" max="1" width="63.28515625" customWidth="1"/>
    <col min="2" max="2" width="16.42578125" hidden="1" customWidth="1"/>
    <col min="3" max="22" width="21.7109375" style="11" customWidth="1"/>
  </cols>
  <sheetData>
    <row r="1" spans="1:22" ht="45" x14ac:dyDescent="0.25">
      <c r="A1" s="11"/>
      <c r="B1" s="22" t="s">
        <v>27</v>
      </c>
      <c r="C1" s="23" t="s">
        <v>34</v>
      </c>
      <c r="D1" s="23" t="s">
        <v>35</v>
      </c>
      <c r="E1" s="23" t="s">
        <v>36</v>
      </c>
      <c r="F1" s="23" t="s">
        <v>37</v>
      </c>
      <c r="G1" s="23" t="s">
        <v>38</v>
      </c>
      <c r="H1" s="23" t="s">
        <v>39</v>
      </c>
      <c r="I1" s="23" t="s">
        <v>40</v>
      </c>
      <c r="J1" s="23" t="s">
        <v>41</v>
      </c>
      <c r="K1" s="23" t="s">
        <v>42</v>
      </c>
      <c r="L1" s="23" t="s">
        <v>43</v>
      </c>
      <c r="M1" s="23" t="s">
        <v>44</v>
      </c>
      <c r="N1" s="23" t="s">
        <v>45</v>
      </c>
      <c r="O1" s="23" t="s">
        <v>46</v>
      </c>
      <c r="P1" s="23" t="s">
        <v>47</v>
      </c>
      <c r="Q1" s="23" t="s">
        <v>48</v>
      </c>
      <c r="R1" s="23" t="s">
        <v>49</v>
      </c>
      <c r="S1" s="23" t="s">
        <v>51</v>
      </c>
      <c r="T1" s="23" t="s">
        <v>50</v>
      </c>
      <c r="U1" s="23" t="s">
        <v>52</v>
      </c>
      <c r="V1" s="24" t="s">
        <v>7</v>
      </c>
    </row>
    <row r="2" spans="1:22" ht="102.75" customHeight="1" x14ac:dyDescent="0.25">
      <c r="A2" s="59" t="s">
        <v>55</v>
      </c>
      <c r="B2" s="19">
        <f>SUM('REGION 1 SAN JOSÉ CENTRAL'!C4:F12)</f>
        <v>1414</v>
      </c>
      <c r="C2" s="19"/>
      <c r="D2" s="19"/>
      <c r="E2" s="19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25"/>
    </row>
    <row r="3" spans="1:22" ht="102.75" customHeight="1" x14ac:dyDescent="0.25">
      <c r="A3" s="58" t="s">
        <v>53</v>
      </c>
      <c r="B3" s="19"/>
      <c r="C3" s="19"/>
      <c r="D3" s="19"/>
      <c r="E3" s="19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25"/>
    </row>
    <row r="4" spans="1:22" ht="102.75" customHeight="1" x14ac:dyDescent="0.25">
      <c r="A4" s="57" t="s">
        <v>54</v>
      </c>
      <c r="B4" s="19"/>
      <c r="C4" s="19"/>
      <c r="D4" s="19"/>
      <c r="E4" s="19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25"/>
    </row>
    <row r="5" spans="1:22" ht="102.75" customHeight="1" x14ac:dyDescent="0.25">
      <c r="A5" s="58" t="s">
        <v>94</v>
      </c>
      <c r="B5" s="19"/>
      <c r="C5" s="19"/>
      <c r="D5" s="19"/>
      <c r="E5" s="19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5"/>
    </row>
    <row r="6" spans="1:22" ht="102.75" customHeight="1" x14ac:dyDescent="0.25">
      <c r="A6" s="60" t="s">
        <v>60</v>
      </c>
      <c r="B6" s="19"/>
      <c r="C6" s="19"/>
      <c r="D6" s="19"/>
      <c r="E6" s="19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25"/>
    </row>
    <row r="7" spans="1:22" ht="102.75" customHeight="1" x14ac:dyDescent="0.25">
      <c r="A7" s="61" t="s">
        <v>95</v>
      </c>
      <c r="B7" s="19"/>
      <c r="C7" s="19"/>
      <c r="D7" s="19"/>
      <c r="E7" s="19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25"/>
    </row>
    <row r="8" spans="1:22" ht="105" customHeight="1" x14ac:dyDescent="0.25">
      <c r="A8" s="63" t="s">
        <v>62</v>
      </c>
      <c r="B8" s="19"/>
      <c r="C8" s="19"/>
      <c r="D8" s="19"/>
      <c r="E8" s="19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25"/>
    </row>
    <row r="9" spans="1:22" ht="90" customHeight="1" x14ac:dyDescent="0.25">
      <c r="A9" s="64" t="s">
        <v>61</v>
      </c>
      <c r="B9" s="19"/>
      <c r="C9" s="19"/>
      <c r="D9" s="19"/>
      <c r="E9" s="19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25"/>
    </row>
    <row r="10" spans="1:22" x14ac:dyDescent="0.25">
      <c r="A10" s="62"/>
      <c r="B10" s="19"/>
      <c r="C10" s="19"/>
      <c r="D10" s="19"/>
      <c r="E10" s="19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25"/>
    </row>
    <row r="11" spans="1:22" x14ac:dyDescent="0.25">
      <c r="A11" s="62"/>
      <c r="B11" s="19"/>
      <c r="C11" s="19"/>
      <c r="D11" s="19"/>
      <c r="E11" s="19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25"/>
    </row>
    <row r="12" spans="1:22" x14ac:dyDescent="0.25">
      <c r="A12" s="62"/>
      <c r="B12" s="19"/>
      <c r="C12" s="19"/>
      <c r="D12" s="19"/>
      <c r="E12" s="19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REGION 1 SAN JOSÉ CENTRAL</vt:lpstr>
      <vt:lpstr>REGIÓN 1 SAN JOSÉ NORTE</vt:lpstr>
      <vt:lpstr>REGIÓN 1 SAN JOSÉ SUR</vt:lpstr>
      <vt:lpstr>REGION 2 ALAJUELA</vt:lpstr>
      <vt:lpstr>REGION 3 CARTAGO</vt:lpstr>
      <vt:lpstr>REGION 4 HEREDIA</vt:lpstr>
      <vt:lpstr>REGION 5 CHOROTEGA</vt:lpstr>
      <vt:lpstr>REGION 6 PAC CENTRAL</vt:lpstr>
      <vt:lpstr>REGION 7 BRUNCA</vt:lpstr>
      <vt:lpstr>REGION 8 HUETAR NORTE</vt:lpstr>
      <vt:lpstr>REGION 9 HUETAR ATLANTICA</vt:lpstr>
      <vt:lpstr>REGIÓN 10 BRUNCA SUR</vt:lpstr>
      <vt:lpstr>REGION 11 CHOROTEGA NORTE</vt:lpstr>
      <vt:lpstr>REGION 12 CARIBE</vt:lpstr>
      <vt:lpstr>TOTAL GENERAL</vt:lpstr>
      <vt:lpstr>TOTAL POR REGIÓN</vt:lpstr>
      <vt:lpstr>TOP 20</vt:lpstr>
      <vt:lpstr>PUNTOS VIOLETAS</vt:lpstr>
      <vt:lpstr>POBLACION MIGRANTE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Alberto Morales Morales</dc:creator>
  <cp:lastModifiedBy>Karol Yessenia Solis Rodriguez</cp:lastModifiedBy>
  <cp:lastPrinted>2024-12-03T18:44:07Z</cp:lastPrinted>
  <dcterms:created xsi:type="dcterms:W3CDTF">2024-11-21T16:56:01Z</dcterms:created>
  <dcterms:modified xsi:type="dcterms:W3CDTF">2026-07-03T23:38:07Z</dcterms:modified>
</cp:coreProperties>
</file>